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Price floor" sheetId="2" state="visible" r:id="rId2"/>
    <sheet name="Your products" sheetId="3" state="visible" r:id="rId3"/>
    <sheet name="Ads" sheetId="4" state="visible" r:id="rId4"/>
    <sheet name="This mon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1116"/>
      <sz val="16"/>
    </font>
    <font>
      <i val="1"/>
      <color rgb="006B5B62"/>
      <sz val="9"/>
    </font>
    <font>
      <b val="1"/>
      <color rgb="001D1116"/>
      <sz val="11"/>
    </font>
    <font>
      <b val="1"/>
      <color rgb="001D1116"/>
      <sz val="22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F4F1EE"/>
      </patternFill>
    </fill>
  </fills>
  <borders count="2">
    <border>
      <left/>
      <right/>
      <top/>
      <bottom/>
      <diagonal/>
    </border>
    <border>
      <left style="thin">
        <color rgb="00D8D0CC"/>
      </left>
      <right style="thin">
        <color rgb="00D8D0CC"/>
      </right>
      <top style="thin">
        <color rgb="00D8D0CC"/>
      </top>
      <bottom style="thin">
        <color rgb="00D8D0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10" fontId="0" fillId="2" borderId="1" pivotButton="0" quotePrefix="0" xfId="0"/>
    <xf numFmtId="2" fontId="0" fillId="2" borderId="1" pivotButton="0" quotePrefix="0" xfId="0"/>
    <xf numFmtId="10" fontId="3" fillId="0" borderId="1" pivotButton="0" quotePrefix="0" xfId="0"/>
    <xf numFmtId="2" fontId="4" fillId="3" borderId="1" pivotButton="0" quotePrefix="0" xfId="0"/>
    <xf numFmtId="2" fontId="0" fillId="0" borderId="1" pivotButton="0" quotePrefix="0" xfId="0"/>
    <xf numFmtId="0" fontId="5" fillId="0" borderId="1" applyAlignment="1" pivotButton="0" quotePrefix="0" xfId="0">
      <alignment horizontal="center"/>
    </xf>
    <xf numFmtId="0" fontId="3" fillId="3" borderId="1" pivotButton="0" quotePrefix="0" xfId="0"/>
    <xf numFmtId="2" fontId="0" fillId="0" borderId="0" pivotButton="0" quotePrefix="0" xfId="0"/>
    <xf numFmtId="2" fontId="4" fillId="0" borderId="1" pivotButton="0" quotePrefix="0" xfId="0"/>
    <xf numFmtId="9" fontId="0" fillId="2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1B7F4B"/>
        </patternFill>
      </fill>
    </dxf>
    <dxf>
      <font>
        <b val="1"/>
        <color rgb="00FFFFFF"/>
      </font>
      <fill>
        <patternFill patternType="solid">
          <fgColor rgb="00B3261E"/>
        </patternFill>
      </fill>
    </dxf>
    <dxf>
      <fill>
        <patternFill patternType="solid">
          <fgColor rgb="00DFF3E6"/>
        </patternFill>
      </fill>
    </dxf>
    <dxf>
      <fill>
        <patternFill patternType="solid">
          <fgColor rgb="00FBE3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>
      <c r="A1" s="1" t="inlineStr">
        <is>
          <t>Start here — your fees</t>
        </is>
      </c>
    </row>
    <row r="2">
      <c r="A2" s="2" t="inlineStr">
        <is>
          <t>These are starting points, not gospel. Change every one to match what your platform actually charges you.</t>
        </is>
      </c>
    </row>
    <row r="4">
      <c r="A4" s="3" t="inlineStr">
        <is>
          <t>Currency</t>
        </is>
      </c>
      <c r="B4" s="4" t="inlineStr">
        <is>
          <t>CAD</t>
        </is>
      </c>
      <c r="C4" s="2" t="inlineStr">
        <is>
          <t>Label only — this sheet does not convert currencies.</t>
        </is>
      </c>
    </row>
    <row r="5">
      <c r="A5" s="3" t="inlineStr">
        <is>
          <t>Platform fee %</t>
        </is>
      </c>
      <c r="B5" s="5" t="n">
        <v>0.065</v>
      </c>
      <c r="C5" s="2" t="inlineStr">
        <is>
          <t>Etsy transaction fee. Change to your platform's.</t>
        </is>
      </c>
    </row>
    <row r="6">
      <c r="A6" s="3" t="inlineStr">
        <is>
          <t>Payment processing %</t>
        </is>
      </c>
      <c r="B6" s="5" t="n">
        <v>0.03</v>
      </c>
      <c r="C6" s="2" t="inlineStr">
        <is>
          <t>Varies a lot by country. Check yours.</t>
        </is>
      </c>
    </row>
    <row r="7">
      <c r="A7" s="3" t="inlineStr">
        <is>
          <t>Payment processing fixed</t>
        </is>
      </c>
      <c r="B7" s="5" t="n">
        <v>0.25</v>
      </c>
      <c r="C7" s="2" t="inlineStr">
        <is>
          <t>Charged per order.</t>
        </is>
      </c>
    </row>
    <row r="8">
      <c r="A8" s="3" t="inlineStr">
        <is>
          <t>Listing fee</t>
        </is>
      </c>
      <c r="B8" s="5" t="n">
        <v>0.2</v>
      </c>
      <c r="C8" s="2" t="inlineStr">
        <is>
          <t>Per listing. Set 0 if your platform has none.</t>
        </is>
      </c>
    </row>
    <row r="9">
      <c r="A9" s="3" t="inlineStr">
        <is>
          <t>Shipping you absorb</t>
        </is>
      </c>
      <c r="B9" s="6" t="n">
        <v>8</v>
      </c>
      <c r="C9" s="2" t="inlineStr">
        <is>
          <t>Worst case, not average. The one people forget.</t>
        </is>
      </c>
    </row>
    <row r="10">
      <c r="A10" s="3" t="inlineStr">
        <is>
          <t>Minimum profit per sale</t>
        </is>
      </c>
      <c r="B10" s="6" t="n">
        <v>1</v>
      </c>
      <c r="C10" s="2" t="inlineStr">
        <is>
          <t>Your cushion. Not a fee — your floor above zero.</t>
        </is>
      </c>
    </row>
    <row r="11">
      <c r="A11" s="3" t="inlineStr">
        <is>
          <t>Offsite Ads %</t>
        </is>
      </c>
      <c r="B11" s="5" t="n">
        <v>0</v>
      </c>
      <c r="C11" s="2" t="inlineStr">
        <is>
          <t>Only on ad-attributed orders. 0 if you opted out.</t>
        </is>
      </c>
    </row>
    <row r="13">
      <c r="A13" s="3" t="inlineStr">
        <is>
          <t>Total % fees</t>
        </is>
      </c>
      <c r="B13" s="7">
        <f>B5+B6+B11</f>
        <v/>
      </c>
      <c r="C13" s="2" t="inlineStr">
        <is>
          <t>Platform + processing + offsite ads. Shown so you can sanity-check it.</t>
        </is>
      </c>
    </row>
    <row r="15">
      <c r="A15" s="3" t="inlineStr">
        <is>
          <t>What this is not</t>
        </is>
      </c>
    </row>
    <row r="16">
      <c r="A16" s="2" t="inlineStr">
        <is>
          <t>A calculator, not accounting or tax advice. It does not file anything or know your local rules.</t>
        </is>
      </c>
    </row>
  </sheetData>
  <mergeCells count="2"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1" t="inlineStr">
        <is>
          <t>What is the lowest price I can sell this at?</t>
        </is>
      </c>
    </row>
    <row r="2">
      <c r="A2" s="2" t="inlineStr">
        <is>
          <t>Type what the item costs you. Everything else comes from Start here.</t>
        </is>
      </c>
    </row>
    <row r="4">
      <c r="A4" s="3" t="inlineStr">
        <is>
          <t>What the item costs you</t>
        </is>
      </c>
      <c r="B4" s="6" t="n">
        <v>6</v>
      </c>
      <c r="C4" s="2" t="inlineStr">
        <is>
          <t>Wholesale / print cost. Not including shipping.</t>
        </is>
      </c>
    </row>
    <row r="6">
      <c r="A6" s="3" t="inlineStr">
        <is>
          <t>Your price floor</t>
        </is>
      </c>
      <c r="B6" s="8">
        <f>(B4+'Start here'!B9+('Start here'!B7+'Start here'!B8)+'Start here'!B10)/(1-'Start here'!B13)</f>
        <v/>
      </c>
      <c r="C6" s="2" t="inlineStr">
        <is>
          <t>Sell below this and the sale loses money once every fee is counted.</t>
        </is>
      </c>
    </row>
    <row r="8">
      <c r="A8" s="3" t="inlineStr">
        <is>
          <t>Your actual price</t>
        </is>
      </c>
      <c r="B8" s="6" t="n">
        <v>12</v>
      </c>
    </row>
    <row r="9">
      <c r="A9" s="3" t="inlineStr">
        <is>
          <t>Profit per sale at that price</t>
        </is>
      </c>
      <c r="B9" s="9">
        <f>B8*(1-'Start here'!B13)-('Start here'!B7+'Start here'!B8)-'Start here'!B9-B4</f>
        <v/>
      </c>
    </row>
    <row r="11">
      <c r="A11" s="3" t="inlineStr">
        <is>
          <t>Verdict</t>
        </is>
      </c>
      <c r="B11" s="10">
        <f>IF(B8&gt;=B6, "SAFE", "LOSES " &amp; TEXT(ABS(B9),"0.00") &amp; " A SALE")</f>
        <v/>
      </c>
      <c r="C11" s="2" t="inlineStr">
        <is>
          <t>Red is the whole point of this sheet. A 2x markup goes red more often than anyone expects.</t>
        </is>
      </c>
    </row>
  </sheetData>
  <mergeCells count="1">
    <mergeCell ref="A2:C2"/>
  </mergeCells>
  <conditionalFormatting sqref="B11">
    <cfRule type="cellIs" priority="1" operator="equal" dxfId="0">
      <formula>"SAFE"</formula>
    </cfRule>
    <cfRule type="cellIs" priority="2" operator="notEqual" dxfId="1">
      <formula>"SAFE"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Every product, checked against its own floor</t>
        </is>
      </c>
    </row>
    <row r="3">
      <c r="A3" s="11" t="inlineStr">
        <is>
          <t>SKU</t>
        </is>
      </c>
      <c r="B3" s="11" t="inlineStr">
        <is>
          <t>Name</t>
        </is>
      </c>
      <c r="C3" s="11" t="inlineStr">
        <is>
          <t>Cost</t>
        </is>
      </c>
      <c r="D3" s="11" t="inlineStr">
        <is>
          <t>Shipping (blank = default)</t>
        </is>
      </c>
      <c r="E3" s="11" t="inlineStr">
        <is>
          <t>Your price</t>
        </is>
      </c>
      <c r="F3" s="11" t="inlineStr">
        <is>
          <t>Floor</t>
        </is>
      </c>
      <c r="G3" s="11" t="inlineStr">
        <is>
          <t>Profit/sale</t>
        </is>
      </c>
      <c r="H3" s="11" t="inlineStr">
        <is>
          <t>Verdict</t>
        </is>
      </c>
    </row>
    <row r="4">
      <c r="F4" s="12">
        <f>IF(C4="","",(C4+IF(D4="",'Start here'!B9,D4)+('Start here'!B7+'Start here'!B8)+'Start here'!B10)/(1-'Start here'!B13))</f>
        <v/>
      </c>
      <c r="G4" s="12">
        <f>IF(OR(C4="",E4=""),"",E4*(1-'Start here'!B13)-('Start here'!B7+'Start here'!B8)-IF(D4="",'Start here'!B9,D4)-C4)</f>
        <v/>
      </c>
      <c r="H4">
        <f>IF(OR(C4="",E4=""),"",IF(E4&gt;=F4,"SAFE","LOSES "&amp;TEXT(ABS(G4),"0.00")))</f>
        <v/>
      </c>
    </row>
    <row r="5">
      <c r="F5" s="12">
        <f>IF(C5="","",(C5+IF(D5="",'Start here'!B9,D5)+('Start here'!B7+'Start here'!B8)+'Start here'!B10)/(1-'Start here'!B13))</f>
        <v/>
      </c>
      <c r="G5" s="12">
        <f>IF(OR(C5="",E5=""),"",E5*(1-'Start here'!B13)-('Start here'!B7+'Start here'!B8)-IF(D5="",'Start here'!B9,D5)-C5)</f>
        <v/>
      </c>
      <c r="H5">
        <f>IF(OR(C5="",E5=""),"",IF(E5&gt;=F5,"SAFE","LOSES "&amp;TEXT(ABS(G5),"0.00")))</f>
        <v/>
      </c>
    </row>
    <row r="6">
      <c r="F6" s="12">
        <f>IF(C6="","",(C6+IF(D6="",'Start here'!B9,D6)+('Start here'!B7+'Start here'!B8)+'Start here'!B10)/(1-'Start here'!B13))</f>
        <v/>
      </c>
      <c r="G6" s="12">
        <f>IF(OR(C6="",E6=""),"",E6*(1-'Start here'!B13)-('Start here'!B7+'Start here'!B8)-IF(D6="",'Start here'!B9,D6)-C6)</f>
        <v/>
      </c>
      <c r="H6">
        <f>IF(OR(C6="",E6=""),"",IF(E6&gt;=F6,"SAFE","LOSES "&amp;TEXT(ABS(G6),"0.00")))</f>
        <v/>
      </c>
    </row>
    <row r="7">
      <c r="F7" s="12">
        <f>IF(C7="","",(C7+IF(D7="",'Start here'!B9,D7)+('Start here'!B7+'Start here'!B8)+'Start here'!B10)/(1-'Start here'!B13))</f>
        <v/>
      </c>
      <c r="G7" s="12">
        <f>IF(OR(C7="",E7=""),"",E7*(1-'Start here'!B13)-('Start here'!B7+'Start here'!B8)-IF(D7="",'Start here'!B9,D7)-C7)</f>
        <v/>
      </c>
      <c r="H7">
        <f>IF(OR(C7="",E7=""),"",IF(E7&gt;=F7,"SAFE","LOSES "&amp;TEXT(ABS(G7),"0.00")))</f>
        <v/>
      </c>
    </row>
    <row r="8">
      <c r="F8" s="12">
        <f>IF(C8="","",(C8+IF(D8="",'Start here'!B9,D8)+('Start here'!B7+'Start here'!B8)+'Start here'!B10)/(1-'Start here'!B13))</f>
        <v/>
      </c>
      <c r="G8" s="12">
        <f>IF(OR(C8="",E8=""),"",E8*(1-'Start here'!B13)-('Start here'!B7+'Start here'!B8)-IF(D8="",'Start here'!B9,D8)-C8)</f>
        <v/>
      </c>
      <c r="H8">
        <f>IF(OR(C8="",E8=""),"",IF(E8&gt;=F8,"SAFE","LOSES "&amp;TEXT(ABS(G8),"0.00")))</f>
        <v/>
      </c>
    </row>
    <row r="9">
      <c r="F9" s="12">
        <f>IF(C9="","",(C9+IF(D9="",'Start here'!B9,D9)+('Start here'!B7+'Start here'!B8)+'Start here'!B10)/(1-'Start here'!B13))</f>
        <v/>
      </c>
      <c r="G9" s="12">
        <f>IF(OR(C9="",E9=""),"",E9*(1-'Start here'!B13)-('Start here'!B7+'Start here'!B8)-IF(D9="",'Start here'!B9,D9)-C9)</f>
        <v/>
      </c>
      <c r="H9">
        <f>IF(OR(C9="",E9=""),"",IF(E9&gt;=F9,"SAFE","LOSES "&amp;TEXT(ABS(G9),"0.00")))</f>
        <v/>
      </c>
    </row>
    <row r="10">
      <c r="F10" s="12">
        <f>IF(C10="","",(C10+IF(D10="",'Start here'!B9,D10)+('Start here'!B7+'Start here'!B8)+'Start here'!B10)/(1-'Start here'!B13))</f>
        <v/>
      </c>
      <c r="G10" s="12">
        <f>IF(OR(C10="",E10=""),"",E10*(1-'Start here'!B13)-('Start here'!B7+'Start here'!B8)-IF(D10="",'Start here'!B9,D10)-C10)</f>
        <v/>
      </c>
      <c r="H10">
        <f>IF(OR(C10="",E10=""),"",IF(E10&gt;=F10,"SAFE","LOSES "&amp;TEXT(ABS(G10),"0.00")))</f>
        <v/>
      </c>
    </row>
    <row r="11">
      <c r="F11" s="12">
        <f>IF(C11="","",(C11+IF(D11="",'Start here'!B9,D11)+('Start here'!B7+'Start here'!B8)+'Start here'!B10)/(1-'Start here'!B13))</f>
        <v/>
      </c>
      <c r="G11" s="12">
        <f>IF(OR(C11="",E11=""),"",E11*(1-'Start here'!B13)-('Start here'!B7+'Start here'!B8)-IF(D11="",'Start here'!B9,D11)-C11)</f>
        <v/>
      </c>
      <c r="H11">
        <f>IF(OR(C11="",E11=""),"",IF(E11&gt;=F11,"SAFE","LOSES "&amp;TEXT(ABS(G11),"0.00")))</f>
        <v/>
      </c>
    </row>
    <row r="12">
      <c r="F12" s="12">
        <f>IF(C12="","",(C12+IF(D12="",'Start here'!B9,D12)+('Start here'!B7+'Start here'!B8)+'Start here'!B10)/(1-'Start here'!B13))</f>
        <v/>
      </c>
      <c r="G12" s="12">
        <f>IF(OR(C12="",E12=""),"",E12*(1-'Start here'!B13)-('Start here'!B7+'Start here'!B8)-IF(D12="",'Start here'!B9,D12)-C12)</f>
        <v/>
      </c>
      <c r="H12">
        <f>IF(OR(C12="",E12=""),"",IF(E12&gt;=F12,"SAFE","LOSES "&amp;TEXT(ABS(G12),"0.00")))</f>
        <v/>
      </c>
    </row>
    <row r="13">
      <c r="F13" s="12">
        <f>IF(C13="","",(C13+IF(D13="",'Start here'!B9,D13)+('Start here'!B7+'Start here'!B8)+'Start here'!B10)/(1-'Start here'!B13))</f>
        <v/>
      </c>
      <c r="G13" s="12">
        <f>IF(OR(C13="",E13=""),"",E13*(1-'Start here'!B13)-('Start here'!B7+'Start here'!B8)-IF(D13="",'Start here'!B9,D13)-C13)</f>
        <v/>
      </c>
      <c r="H13">
        <f>IF(OR(C13="",E13=""),"",IF(E13&gt;=F13,"SAFE","LOSES "&amp;TEXT(ABS(G13),"0.00")))</f>
        <v/>
      </c>
    </row>
    <row r="14">
      <c r="F14" s="12">
        <f>IF(C14="","",(C14+IF(D14="",'Start here'!B9,D14)+('Start here'!B7+'Start here'!B8)+'Start here'!B10)/(1-'Start here'!B13))</f>
        <v/>
      </c>
      <c r="G14" s="12">
        <f>IF(OR(C14="",E14=""),"",E14*(1-'Start here'!B13)-('Start here'!B7+'Start here'!B8)-IF(D14="",'Start here'!B9,D14)-C14)</f>
        <v/>
      </c>
      <c r="H14">
        <f>IF(OR(C14="",E14=""),"",IF(E14&gt;=F14,"SAFE","LOSES "&amp;TEXT(ABS(G14),"0.00")))</f>
        <v/>
      </c>
    </row>
    <row r="15">
      <c r="F15" s="12">
        <f>IF(C15="","",(C15+IF(D15="",'Start here'!B9,D15)+('Start here'!B7+'Start here'!B8)+'Start here'!B10)/(1-'Start here'!B13))</f>
        <v/>
      </c>
      <c r="G15" s="12">
        <f>IF(OR(C15="",E15=""),"",E15*(1-'Start here'!B13)-('Start here'!B7+'Start here'!B8)-IF(D15="",'Start here'!B9,D15)-C15)</f>
        <v/>
      </c>
      <c r="H15">
        <f>IF(OR(C15="",E15=""),"",IF(E15&gt;=F15,"SAFE","LOSES "&amp;TEXT(ABS(G15),"0.00")))</f>
        <v/>
      </c>
    </row>
    <row r="16">
      <c r="F16" s="12">
        <f>IF(C16="","",(C16+IF(D16="",'Start here'!B9,D16)+('Start here'!B7+'Start here'!B8)+'Start here'!B10)/(1-'Start here'!B13))</f>
        <v/>
      </c>
      <c r="G16" s="12">
        <f>IF(OR(C16="",E16=""),"",E16*(1-'Start here'!B13)-('Start here'!B7+'Start here'!B8)-IF(D16="",'Start here'!B9,D16)-C16)</f>
        <v/>
      </c>
      <c r="H16">
        <f>IF(OR(C16="",E16=""),"",IF(E16&gt;=F16,"SAFE","LOSES "&amp;TEXT(ABS(G16),"0.00")))</f>
        <v/>
      </c>
    </row>
    <row r="17">
      <c r="F17" s="12">
        <f>IF(C17="","",(C17+IF(D17="",'Start here'!B9,D17)+('Start here'!B7+'Start here'!B8)+'Start here'!B10)/(1-'Start here'!B13))</f>
        <v/>
      </c>
      <c r="G17" s="12">
        <f>IF(OR(C17="",E17=""),"",E17*(1-'Start here'!B13)-('Start here'!B7+'Start here'!B8)-IF(D17="",'Start here'!B9,D17)-C17)</f>
        <v/>
      </c>
      <c r="H17">
        <f>IF(OR(C17="",E17=""),"",IF(E17&gt;=F17,"SAFE","LOSES "&amp;TEXT(ABS(G17),"0.00")))</f>
        <v/>
      </c>
    </row>
    <row r="18">
      <c r="F18" s="12">
        <f>IF(C18="","",(C18+IF(D18="",'Start here'!B9,D18)+('Start here'!B7+'Start here'!B8)+'Start here'!B10)/(1-'Start here'!B13))</f>
        <v/>
      </c>
      <c r="G18" s="12">
        <f>IF(OR(C18="",E18=""),"",E18*(1-'Start here'!B13)-('Start here'!B7+'Start here'!B8)-IF(D18="",'Start here'!B9,D18)-C18)</f>
        <v/>
      </c>
      <c r="H18">
        <f>IF(OR(C18="",E18=""),"",IF(E18&gt;=F18,"SAFE","LOSES "&amp;TEXT(ABS(G18),"0.00")))</f>
        <v/>
      </c>
    </row>
    <row r="19">
      <c r="F19" s="12">
        <f>IF(C19="","",(C19+IF(D19="",'Start here'!B9,D19)+('Start here'!B7+'Start here'!B8)+'Start here'!B10)/(1-'Start here'!B13))</f>
        <v/>
      </c>
      <c r="G19" s="12">
        <f>IF(OR(C19="",E19=""),"",E19*(1-'Start here'!B13)-('Start here'!B7+'Start here'!B8)-IF(D19="",'Start here'!B9,D19)-C19)</f>
        <v/>
      </c>
      <c r="H19">
        <f>IF(OR(C19="",E19=""),"",IF(E19&gt;=F19,"SAFE","LOSES "&amp;TEXT(ABS(G19),"0.00")))</f>
        <v/>
      </c>
    </row>
    <row r="20">
      <c r="F20" s="12">
        <f>IF(C20="","",(C20+IF(D20="",'Start here'!B9,D20)+('Start here'!B7+'Start here'!B8)+'Start here'!B10)/(1-'Start here'!B13))</f>
        <v/>
      </c>
      <c r="G20" s="12">
        <f>IF(OR(C20="",E20=""),"",E20*(1-'Start here'!B13)-('Start here'!B7+'Start here'!B8)-IF(D20="",'Start here'!B9,D20)-C20)</f>
        <v/>
      </c>
      <c r="H20">
        <f>IF(OR(C20="",E20=""),"",IF(E20&gt;=F20,"SAFE","LOSES "&amp;TEXT(ABS(G20),"0.00")))</f>
        <v/>
      </c>
    </row>
    <row r="21">
      <c r="F21" s="12">
        <f>IF(C21="","",(C21+IF(D21="",'Start here'!B9,D21)+('Start here'!B7+'Start here'!B8)+'Start here'!B10)/(1-'Start here'!B13))</f>
        <v/>
      </c>
      <c r="G21" s="12">
        <f>IF(OR(C21="",E21=""),"",E21*(1-'Start here'!B13)-('Start here'!B7+'Start here'!B8)-IF(D21="",'Start here'!B9,D21)-C21)</f>
        <v/>
      </c>
      <c r="H21">
        <f>IF(OR(C21="",E21=""),"",IF(E21&gt;=F21,"SAFE","LOSES "&amp;TEXT(ABS(G21),"0.00")))</f>
        <v/>
      </c>
    </row>
    <row r="22">
      <c r="F22" s="12">
        <f>IF(C22="","",(C22+IF(D22="",'Start here'!B9,D22)+('Start here'!B7+'Start here'!B8)+'Start here'!B10)/(1-'Start here'!B13))</f>
        <v/>
      </c>
      <c r="G22" s="12">
        <f>IF(OR(C22="",E22=""),"",E22*(1-'Start here'!B13)-('Start here'!B7+'Start here'!B8)-IF(D22="",'Start here'!B9,D22)-C22)</f>
        <v/>
      </c>
      <c r="H22">
        <f>IF(OR(C22="",E22=""),"",IF(E22&gt;=F22,"SAFE","LOSES "&amp;TEXT(ABS(G22),"0.00")))</f>
        <v/>
      </c>
    </row>
    <row r="23">
      <c r="F23" s="12">
        <f>IF(C23="","",(C23+IF(D23="",'Start here'!B9,D23)+('Start here'!B7+'Start here'!B8)+'Start here'!B10)/(1-'Start here'!B13))</f>
        <v/>
      </c>
      <c r="G23" s="12">
        <f>IF(OR(C23="",E23=""),"",E23*(1-'Start here'!B13)-('Start here'!B7+'Start here'!B8)-IF(D23="",'Start here'!B9,D23)-C23)</f>
        <v/>
      </c>
      <c r="H23">
        <f>IF(OR(C23="",E23=""),"",IF(E23&gt;=F23,"SAFE","LOSES "&amp;TEXT(ABS(G23),"0.00")))</f>
        <v/>
      </c>
    </row>
    <row r="24">
      <c r="F24" s="12">
        <f>IF(C24="","",(C24+IF(D24="",'Start here'!B9,D24)+('Start here'!B7+'Start here'!B8)+'Start here'!B10)/(1-'Start here'!B13))</f>
        <v/>
      </c>
      <c r="G24" s="12">
        <f>IF(OR(C24="",E24=""),"",E24*(1-'Start here'!B13)-('Start here'!B7+'Start here'!B8)-IF(D24="",'Start here'!B9,D24)-C24)</f>
        <v/>
      </c>
      <c r="H24">
        <f>IF(OR(C24="",E24=""),"",IF(E24&gt;=F24,"SAFE","LOSES "&amp;TEXT(ABS(G24),"0.00")))</f>
        <v/>
      </c>
    </row>
    <row r="25">
      <c r="F25" s="12">
        <f>IF(C25="","",(C25+IF(D25="",'Start here'!B9,D25)+('Start here'!B7+'Start here'!B8)+'Start here'!B10)/(1-'Start here'!B13))</f>
        <v/>
      </c>
      <c r="G25" s="12">
        <f>IF(OR(C25="",E25=""),"",E25*(1-'Start here'!B13)-('Start here'!B7+'Start here'!B8)-IF(D25="",'Start here'!B9,D25)-C25)</f>
        <v/>
      </c>
      <c r="H25">
        <f>IF(OR(C25="",E25=""),"",IF(E25&gt;=F25,"SAFE","LOSES "&amp;TEXT(ABS(G25),"0.00")))</f>
        <v/>
      </c>
    </row>
    <row r="26">
      <c r="F26" s="12">
        <f>IF(C26="","",(C26+IF(D26="",'Start here'!B9,D26)+('Start here'!B7+'Start here'!B8)+'Start here'!B10)/(1-'Start here'!B13))</f>
        <v/>
      </c>
      <c r="G26" s="12">
        <f>IF(OR(C26="",E26=""),"",E26*(1-'Start here'!B13)-('Start here'!B7+'Start here'!B8)-IF(D26="",'Start here'!B9,D26)-C26)</f>
        <v/>
      </c>
      <c r="H26">
        <f>IF(OR(C26="",E26=""),"",IF(E26&gt;=F26,"SAFE","LOSES "&amp;TEXT(ABS(G26),"0.00")))</f>
        <v/>
      </c>
    </row>
    <row r="27">
      <c r="F27" s="12">
        <f>IF(C27="","",(C27+IF(D27="",'Start here'!B9,D27)+('Start here'!B7+'Start here'!B8)+'Start here'!B10)/(1-'Start here'!B13))</f>
        <v/>
      </c>
      <c r="G27" s="12">
        <f>IF(OR(C27="",E27=""),"",E27*(1-'Start here'!B13)-('Start here'!B7+'Start here'!B8)-IF(D27="",'Start here'!B9,D27)-C27)</f>
        <v/>
      </c>
      <c r="H27">
        <f>IF(OR(C27="",E27=""),"",IF(E27&gt;=F27,"SAFE","LOSES "&amp;TEXT(ABS(G27),"0.00")))</f>
        <v/>
      </c>
    </row>
    <row r="28">
      <c r="F28" s="12">
        <f>IF(C28="","",(C28+IF(D28="",'Start here'!B9,D28)+('Start here'!B7+'Start here'!B8)+'Start here'!B10)/(1-'Start here'!B13))</f>
        <v/>
      </c>
      <c r="G28" s="12">
        <f>IF(OR(C28="",E28=""),"",E28*(1-'Start here'!B13)-('Start here'!B7+'Start here'!B8)-IF(D28="",'Start here'!B9,D28)-C28)</f>
        <v/>
      </c>
      <c r="H28">
        <f>IF(OR(C28="",E28=""),"",IF(E28&gt;=F28,"SAFE","LOSES "&amp;TEXT(ABS(G28),"0.00")))</f>
        <v/>
      </c>
    </row>
    <row r="29">
      <c r="F29" s="12">
        <f>IF(C29="","",(C29+IF(D29="",'Start here'!B9,D29)+('Start here'!B7+'Start here'!B8)+'Start here'!B10)/(1-'Start here'!B13))</f>
        <v/>
      </c>
      <c r="G29" s="12">
        <f>IF(OR(C29="",E29=""),"",E29*(1-'Start here'!B13)-('Start here'!B7+'Start here'!B8)-IF(D29="",'Start here'!B9,D29)-C29)</f>
        <v/>
      </c>
      <c r="H29">
        <f>IF(OR(C29="",E29=""),"",IF(E29&gt;=F29,"SAFE","LOSES "&amp;TEXT(ABS(G29),"0.00")))</f>
        <v/>
      </c>
    </row>
    <row r="30">
      <c r="F30" s="12">
        <f>IF(C30="","",(C30+IF(D30="",'Start here'!B9,D30)+('Start here'!B7+'Start here'!B8)+'Start here'!B10)/(1-'Start here'!B13))</f>
        <v/>
      </c>
      <c r="G30" s="12">
        <f>IF(OR(C30="",E30=""),"",E30*(1-'Start here'!B13)-('Start here'!B7+'Start here'!B8)-IF(D30="",'Start here'!B9,D30)-C30)</f>
        <v/>
      </c>
      <c r="H30">
        <f>IF(OR(C30="",E30=""),"",IF(E30&gt;=F30,"SAFE","LOSES "&amp;TEXT(ABS(G30),"0.00")))</f>
        <v/>
      </c>
    </row>
    <row r="31">
      <c r="F31" s="12">
        <f>IF(C31="","",(C31+IF(D31="",'Start here'!B9,D31)+('Start here'!B7+'Start here'!B8)+'Start here'!B10)/(1-'Start here'!B13))</f>
        <v/>
      </c>
      <c r="G31" s="12">
        <f>IF(OR(C31="",E31=""),"",E31*(1-'Start here'!B13)-('Start here'!B7+'Start here'!B8)-IF(D31="",'Start here'!B9,D31)-C31)</f>
        <v/>
      </c>
      <c r="H31">
        <f>IF(OR(C31="",E31=""),"",IF(E31&gt;=F31,"SAFE","LOSES "&amp;TEXT(ABS(G31),"0.00")))</f>
        <v/>
      </c>
    </row>
    <row r="32">
      <c r="F32" s="12">
        <f>IF(C32="","",(C32+IF(D32="",'Start here'!B9,D32)+('Start here'!B7+'Start here'!B8)+'Start here'!B10)/(1-'Start here'!B13))</f>
        <v/>
      </c>
      <c r="G32" s="12">
        <f>IF(OR(C32="",E32=""),"",E32*(1-'Start here'!B13)-('Start here'!B7+'Start here'!B8)-IF(D32="",'Start here'!B9,D32)-C32)</f>
        <v/>
      </c>
      <c r="H32">
        <f>IF(OR(C32="",E32=""),"",IF(E32&gt;=F32,"SAFE","LOSES "&amp;TEXT(ABS(G32),"0.00")))</f>
        <v/>
      </c>
    </row>
    <row r="33">
      <c r="F33" s="12">
        <f>IF(C33="","",(C33+IF(D33="",'Start here'!B9,D33)+('Start here'!B7+'Start here'!B8)+'Start here'!B10)/(1-'Start here'!B13))</f>
        <v/>
      </c>
      <c r="G33" s="12">
        <f>IF(OR(C33="",E33=""),"",E33*(1-'Start here'!B13)-('Start here'!B7+'Start here'!B8)-IF(D33="",'Start here'!B9,D33)-C33)</f>
        <v/>
      </c>
      <c r="H33">
        <f>IF(OR(C33="",E33=""),"",IF(E33&gt;=F33,"SAFE","LOSES "&amp;TEXT(ABS(G33),"0.00")))</f>
        <v/>
      </c>
    </row>
    <row r="35">
      <c r="A35" s="2" t="inlineStr">
        <is>
          <t>Add rows as you need them — the formulas copy down.</t>
        </is>
      </c>
    </row>
  </sheetData>
  <conditionalFormatting sqref="H4:H33">
    <cfRule type="cellIs" priority="1" operator="equal" dxfId="2">
      <formula>"SAFE"</formula>
    </cfRule>
    <cfRule type="expression" priority="2" dxfId="3">
      <formula>AND(H4&lt;&gt;"",H4&lt;&gt;"SAFE")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1" t="inlineStr">
        <is>
          <t>What do ads have to return before they pay for themselves?</t>
        </is>
      </c>
    </row>
    <row r="3">
      <c r="A3" s="3" t="inlineStr">
        <is>
          <t>Your price</t>
        </is>
      </c>
      <c r="B3" s="12">
        <f>'Price floor'!B8</f>
        <v/>
      </c>
    </row>
    <row r="4">
      <c r="A4" s="3" t="inlineStr">
        <is>
          <t>Profit per sale</t>
        </is>
      </c>
      <c r="B4" s="12">
        <f>'Price floor'!B9</f>
        <v/>
      </c>
    </row>
    <row r="6">
      <c r="A6" s="3" t="inlineStr">
        <is>
          <t>Break-even ROAS</t>
        </is>
      </c>
      <c r="B6" s="13">
        <f>IF(B4&lt;=0,"n/a — you lose money before ads",B3/B4)</f>
        <v/>
      </c>
      <c r="C6" s="2" t="inlineStr">
        <is>
          <t>Every $1 of ads must bring back this much in sales just to break even. Below it you are donating.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1" t="inlineStr">
        <is>
          <t>Did I make money this month?</t>
        </is>
      </c>
    </row>
    <row r="3">
      <c r="A3" s="3" t="inlineStr">
        <is>
          <t>Revenue</t>
        </is>
      </c>
      <c r="B3" s="6" t="n">
        <v>0</v>
      </c>
      <c r="C3" s="2" t="inlineStr">
        <is>
          <t>Processors usually keep the fixed fee on a refunded order. Count it.</t>
        </is>
      </c>
    </row>
    <row r="4">
      <c r="A4" s="3" t="inlineStr">
        <is>
          <t>Platform + processing fees</t>
        </is>
      </c>
      <c r="B4" s="6" t="n">
        <v>0</v>
      </c>
    </row>
    <row r="5">
      <c r="A5" s="3" t="inlineStr">
        <is>
          <t>Cost of goods</t>
        </is>
      </c>
      <c r="B5" s="6" t="n">
        <v>0</v>
      </c>
    </row>
    <row r="6">
      <c r="A6" s="3" t="inlineStr">
        <is>
          <t>Shipping you paid</t>
        </is>
      </c>
      <c r="B6" s="6" t="n">
        <v>0</v>
      </c>
    </row>
    <row r="7">
      <c r="A7" s="3" t="inlineStr">
        <is>
          <t>Refunds and chargebacks</t>
        </is>
      </c>
      <c r="B7" s="6" t="n">
        <v>0</v>
      </c>
    </row>
    <row r="8">
      <c r="A8" s="3" t="inlineStr">
        <is>
          <t>Ad spend</t>
        </is>
      </c>
      <c r="B8" s="6" t="n">
        <v>0</v>
      </c>
    </row>
    <row r="10">
      <c r="A10" s="3" t="inlineStr">
        <is>
          <t>Actually made</t>
        </is>
      </c>
      <c r="B10" s="13">
        <f>B3-B4-B5-B6-B7-B8</f>
        <v/>
      </c>
    </row>
    <row r="12">
      <c r="A12" s="3" t="inlineStr">
        <is>
          <t>Set aside for tax</t>
        </is>
      </c>
      <c r="B12" s="14" t="n">
        <v>0.25</v>
      </c>
    </row>
    <row r="13">
      <c r="A13" s="3" t="inlineStr">
        <is>
          <t>Put this much away</t>
        </is>
      </c>
      <c r="B13" s="9">
        <f>MAX(0,B10)*B12</f>
        <v/>
      </c>
      <c r="C13" s="2" t="inlineStr">
        <is>
          <t>A bucket, not tax advice. Your rate is yours.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2026-09-26T22:02:27Z</dcterms:created>
  <dcterms:modified xsi:type="dcterms:W3CDTF">2026-09-26T22:02:27Z</dcterms:modified>
</cp:coreProperties>
</file>