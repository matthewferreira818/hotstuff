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Start here" sheetId="1" state="visible" r:id="rId1"/>
    <sheet name="Price floor" sheetId="2" state="visible" r:id="rId2"/>
    <sheet name="Your products" sheetId="3" state="visible" r:id="rId3"/>
    <sheet name="Ads" sheetId="4" state="visible" r:id="rId4"/>
    <sheet name="This month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-#,##0.00"/>
    <numFmt numFmtId="165" formatCode="0.0&quot;x&quot;"/>
  </numFmts>
  <fonts count="13">
    <font>
      <name val="Calibri"/>
      <family val="2"/>
      <color theme="1"/>
      <sz val="11"/>
      <scheme val="minor"/>
    </font>
    <font>
      <name val="Arial"/>
      <color rgb="FF111111"/>
      <sz val="10"/>
    </font>
    <font>
      <name val="Arial"/>
      <b val="1"/>
      <color rgb="FF6E6E6E"/>
      <sz val="8"/>
    </font>
    <font>
      <name val="Arial"/>
      <b val="1"/>
      <color rgb="FF111111"/>
      <sz val="14"/>
    </font>
    <font>
      <name val="Arial"/>
      <color rgb="FF6E6E6E"/>
      <sz val="9"/>
    </font>
    <font>
      <name val="Arial"/>
      <b val="1"/>
      <color rgb="FF111111"/>
      <sz val="11"/>
    </font>
    <font>
      <name val="Arial"/>
      <b val="1"/>
      <color rgb="FF111111"/>
      <sz val="36"/>
    </font>
    <font>
      <name val="Arial"/>
      <b val="1"/>
      <color rgb="FFFFFFFF"/>
      <sz val="22"/>
    </font>
    <font>
      <name val="Arial"/>
      <b val="1"/>
      <color rgb="FFFFFFFF"/>
      <sz val="44"/>
    </font>
    <font>
      <name val="Arial"/>
      <b val="1"/>
      <color rgb="FFFFFFFF"/>
      <sz val="11"/>
    </font>
    <font>
      <name val="Arial"/>
      <b val="1"/>
      <color rgb="FF111111"/>
      <sz val="8"/>
    </font>
    <font>
      <name val="Arial"/>
      <b val="1"/>
      <color rgb="FF111111"/>
      <sz val="10"/>
    </font>
    <font>
      <name val="Arial"/>
      <b val="1"/>
      <color rgb="FF111111"/>
      <sz val="24"/>
    </font>
  </fonts>
  <fills count="5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DEDED"/>
        <bgColor rgb="FFEDEDED"/>
      </patternFill>
    </fill>
    <fill>
      <patternFill patternType="solid">
        <fgColor rgb="FFE30613"/>
        <bgColor rgb="FFE30613"/>
      </patternFill>
    </fill>
  </fills>
  <borders count="4">
    <border>
      <left/>
      <right/>
      <top/>
      <bottom/>
      <diagonal/>
    </border>
    <border>
      <top/>
      <bottom style="medium">
        <color rgb="FF111111"/>
      </bottom>
    </border>
    <border>
      <top/>
      <bottom style="thin">
        <color rgb="FFBFBFBF"/>
      </bottom>
    </border>
    <border>
      <top style="medium">
        <color rgb="FF111111"/>
      </top>
      <bottom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pivotButton="0" quotePrefix="0" xfId="0"/>
    <xf numFmtId="0" fontId="2" fillId="2" borderId="0" applyAlignment="1" pivotButton="0" quotePrefix="0" xfId="0">
      <alignment horizontal="left" vertical="bottom"/>
    </xf>
    <xf numFmtId="0" fontId="2" fillId="2" borderId="0" applyAlignment="1" pivotButton="0" quotePrefix="0" xfId="0">
      <alignment horizontal="right" vertical="bottom"/>
    </xf>
    <xf numFmtId="0" fontId="3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1" fillId="2" borderId="2" applyAlignment="1" pivotButton="0" quotePrefix="0" xfId="0">
      <alignment horizontal="left" vertical="center"/>
    </xf>
    <xf numFmtId="0" fontId="1" fillId="2" borderId="2" pivotButton="0" quotePrefix="0" xfId="0"/>
    <xf numFmtId="10" fontId="1" fillId="2" borderId="1" applyAlignment="1" pivotButton="0" quotePrefix="0" xfId="0">
      <alignment horizontal="right" vertical="center"/>
    </xf>
    <xf numFmtId="0" fontId="4" fillId="2" borderId="2" applyAlignment="1" pivotButton="0" quotePrefix="0" xfId="0">
      <alignment horizontal="left" vertical="center" wrapText="1"/>
    </xf>
    <xf numFmtId="164" fontId="1" fillId="2" borderId="1" applyAlignment="1" pivotButton="0" quotePrefix="0" xfId="0">
      <alignment horizontal="right" vertical="center"/>
    </xf>
    <xf numFmtId="49" fontId="1" fillId="2" borderId="1" applyAlignment="1" pivotButton="0" quotePrefix="0" xfId="0">
      <alignment horizontal="left" vertical="center"/>
    </xf>
    <xf numFmtId="0" fontId="5" fillId="2" borderId="3" applyAlignment="1" pivotButton="0" quotePrefix="0" xfId="0">
      <alignment horizontal="left" vertical="center"/>
    </xf>
    <xf numFmtId="0" fontId="1" fillId="2" borderId="3" pivotButton="0" quotePrefix="0" xfId="0"/>
    <xf numFmtId="10" fontId="3" fillId="3" borderId="3" applyAlignment="1" pivotButton="0" quotePrefix="0" xfId="0">
      <alignment horizontal="right" vertical="center"/>
    </xf>
    <xf numFmtId="0" fontId="4" fillId="2" borderId="3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 wrapText="1"/>
    </xf>
    <xf numFmtId="164" fontId="3" fillId="3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left" vertical="bottom" wrapText="1"/>
    </xf>
    <xf numFmtId="0" fontId="10" fillId="2" borderId="1" applyAlignment="1" pivotButton="0" quotePrefix="0" xfId="0">
      <alignment horizontal="right" vertical="bottom" wrapText="1"/>
    </xf>
    <xf numFmtId="0" fontId="10" fillId="2" borderId="1" applyAlignment="1" pivotButton="0" quotePrefix="0" xfId="0">
      <alignment horizontal="center" vertical="bottom" wrapText="1"/>
    </xf>
    <xf numFmtId="164" fontId="1" fillId="2" borderId="2" applyAlignment="1" pivotButton="0" quotePrefix="0" xfId="0">
      <alignment horizontal="right" vertical="center"/>
    </xf>
    <xf numFmtId="164" fontId="1" fillId="3" borderId="2" applyAlignment="1" pivotButton="0" quotePrefix="0" xfId="0">
      <alignment horizontal="right" vertical="center"/>
    </xf>
    <xf numFmtId="0" fontId="11" fillId="3" borderId="2" applyAlignment="1" pivotButton="0" quotePrefix="0" xfId="0">
      <alignment horizontal="center" vertical="center"/>
    </xf>
    <xf numFmtId="165" fontId="12" fillId="3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164" fontId="12" fillId="3" borderId="1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9" fontId="1" fillId="2" borderId="1" applyAlignment="1" pivotButton="0" quotePrefix="0" xfId="0">
      <alignment horizontal="right" vertical="center"/>
    </xf>
    <xf numFmtId="164" fontId="3" fillId="3" borderId="2" applyAlignment="1" pivotButton="0" quotePrefix="0" xfId="0">
      <alignment horizontal="right" vertical="center"/>
    </xf>
  </cellXfs>
  <cellStyles count="1">
    <cellStyle name="Normal" xfId="0" builtinId="0" hidden="0"/>
  </cellStyles>
  <dxfs count="2">
    <dxf>
      <font>
        <b val="1"/>
        <color rgb="FF111111"/>
      </font>
      <fill>
        <patternFill patternType="solid">
          <fgColor rgb="FFEDEDED"/>
          <bgColor rgb="FFEDEDED"/>
        </patternFill>
      </fill>
    </dxf>
    <dxf>
      <font>
        <b val="1"/>
        <color rgb="FFFFFFFF"/>
      </font>
      <fill>
        <patternFill patternType="solid">
          <fgColor rgb="FFE30613"/>
          <bgColor rgb="FFE306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D9D9D9"/>
    <outlinePr summaryBelow="1" summaryRight="1"/>
    <pageSetUpPr/>
  </sheetPr>
  <dimension ref="A1:H32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.5" customWidth="1" min="3" max="3"/>
    <col width="20" customWidth="1" min="4" max="4"/>
    <col width="2.5" customWidth="1" min="5" max="5"/>
    <col width="42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14" customHeight="1">
      <c r="A2" s="1" t="n"/>
      <c r="B2" s="2" t="inlineStr">
        <is>
          <t>PRICE FLOOR SHEET</t>
        </is>
      </c>
      <c r="C2" s="1" t="n"/>
      <c r="D2" s="1" t="n"/>
      <c r="E2" s="1" t="n"/>
      <c r="F2" s="3" t="inlineStr">
        <is>
          <t>findhotstuff.com</t>
        </is>
      </c>
      <c r="G2" s="1" t="n"/>
      <c r="H2" s="1" t="n"/>
    </row>
    <row r="3" ht="28" customHeight="1">
      <c r="A3" s="1" t="n"/>
      <c r="B3" s="4" t="inlineStr">
        <is>
          <t>Start here — your fees</t>
        </is>
      </c>
      <c r="C3" s="5" t="n"/>
      <c r="D3" s="5" t="n"/>
      <c r="E3" s="5" t="n"/>
      <c r="F3" s="5" t="n"/>
      <c r="G3" s="1" t="n"/>
      <c r="H3" s="1" t="n"/>
    </row>
    <row r="4" ht="16" customHeight="1">
      <c r="A4" s="1" t="n"/>
      <c r="B4" s="6" t="inlineStr">
        <is>
          <t>White cells are yours to type in. Grey cells are worked out. Nothing is locked.</t>
        </is>
      </c>
      <c r="C4" s="7" t="n"/>
      <c r="D4" s="7" t="n"/>
      <c r="E4" s="7" t="n"/>
      <c r="F4" s="7" t="n"/>
      <c r="G4" s="1" t="n"/>
      <c r="H4" s="1" t="n"/>
    </row>
    <row r="5" ht="8" customHeight="1">
      <c r="A5" s="1" t="n"/>
      <c r="B5" s="1" t="n"/>
      <c r="C5" s="1" t="n"/>
      <c r="D5" s="1" t="n"/>
      <c r="E5" s="1" t="n"/>
      <c r="F5" s="1" t="n"/>
      <c r="G5" s="1" t="n"/>
      <c r="H5" s="1" t="n"/>
    </row>
    <row r="6" ht="14" customHeight="1">
      <c r="A6" s="1" t="n"/>
      <c r="B6" s="2" t="inlineStr">
        <is>
          <t>01  PERCENTAGE FEES</t>
        </is>
      </c>
      <c r="C6" s="1" t="n"/>
      <c r="D6" s="1" t="n"/>
      <c r="E6" s="1" t="n"/>
      <c r="F6" s="1" t="n"/>
      <c r="G6" s="1" t="n"/>
      <c r="H6" s="1" t="n"/>
    </row>
    <row r="7" ht="22" customHeight="1">
      <c r="A7" s="1" t="n"/>
      <c r="B7" s="8" t="inlineStr">
        <is>
          <t>Platform fee %</t>
        </is>
      </c>
      <c r="C7" s="9" t="n"/>
      <c r="D7" s="10" t="n">
        <v>0.065</v>
      </c>
      <c r="E7" s="9" t="n"/>
      <c r="F7" s="11" t="inlineStr">
        <is>
          <t>Etsy transaction fee. Change to your platform's.</t>
        </is>
      </c>
      <c r="G7" s="1" t="n"/>
      <c r="H7" s="1" t="n"/>
    </row>
    <row r="8" ht="22" customHeight="1">
      <c r="A8" s="1" t="n"/>
      <c r="B8" s="8" t="inlineStr">
        <is>
          <t>Payment processing %</t>
        </is>
      </c>
      <c r="C8" s="9" t="n"/>
      <c r="D8" s="10" t="n">
        <v>0.03</v>
      </c>
      <c r="E8" s="9" t="n"/>
      <c r="F8" s="11" t="inlineStr">
        <is>
          <t>Varies a lot by country. Check yours.</t>
        </is>
      </c>
      <c r="G8" s="1" t="n"/>
      <c r="H8" s="1" t="n"/>
    </row>
    <row r="9" ht="22" customHeight="1">
      <c r="A9" s="1" t="n"/>
      <c r="B9" s="8" t="inlineStr">
        <is>
          <t>Offsite Ads %</t>
        </is>
      </c>
      <c r="C9" s="9" t="n"/>
      <c r="D9" s="10" t="n">
        <v>0</v>
      </c>
      <c r="E9" s="9" t="n"/>
      <c r="F9" s="11" t="inlineStr">
        <is>
          <t>Only on ad-attributed orders. 0 if you opted out.</t>
        </is>
      </c>
      <c r="G9" s="1" t="n"/>
      <c r="H9" s="1" t="n"/>
    </row>
    <row r="10" ht="8" customHeight="1">
      <c r="A10" s="1" t="n"/>
      <c r="B10" s="1" t="n"/>
      <c r="C10" s="1" t="n"/>
      <c r="D10" s="1" t="n"/>
      <c r="E10" s="1" t="n"/>
      <c r="F10" s="1" t="n"/>
      <c r="G10" s="1" t="n"/>
      <c r="H10" s="1" t="n"/>
    </row>
    <row r="11" ht="14" customHeight="1">
      <c r="A11" s="1" t="n"/>
      <c r="B11" s="2" t="inlineStr">
        <is>
          <t>02  PER-ORDER COSTS</t>
        </is>
      </c>
      <c r="C11" s="1" t="n"/>
      <c r="D11" s="1" t="n"/>
      <c r="E11" s="1" t="n"/>
      <c r="F11" s="1" t="n"/>
      <c r="G11" s="1" t="n"/>
      <c r="H11" s="1" t="n"/>
    </row>
    <row r="12" ht="22" customHeight="1">
      <c r="A12" s="1" t="n"/>
      <c r="B12" s="8" t="inlineStr">
        <is>
          <t>Payment processing fixed</t>
        </is>
      </c>
      <c r="C12" s="9" t="n"/>
      <c r="D12" s="12" t="n">
        <v>0.25</v>
      </c>
      <c r="E12" s="9" t="n"/>
      <c r="F12" s="11" t="inlineStr">
        <is>
          <t>Charged per order.</t>
        </is>
      </c>
      <c r="G12" s="1" t="n"/>
      <c r="H12" s="1" t="n"/>
    </row>
    <row r="13" ht="22" customHeight="1">
      <c r="A13" s="1" t="n"/>
      <c r="B13" s="8" t="inlineStr">
        <is>
          <t>Listing fee</t>
        </is>
      </c>
      <c r="C13" s="9" t="n"/>
      <c r="D13" s="12" t="n">
        <v>0.2</v>
      </c>
      <c r="E13" s="9" t="n"/>
      <c r="F13" s="11" t="inlineStr">
        <is>
          <t>Per listing. Set 0 if your platform has none.</t>
        </is>
      </c>
      <c r="G13" s="1" t="n"/>
      <c r="H13" s="1" t="n"/>
    </row>
    <row r="14" ht="22" customHeight="1">
      <c r="A14" s="1" t="n"/>
      <c r="B14" s="8" t="inlineStr">
        <is>
          <t>Shipping you absorb</t>
        </is>
      </c>
      <c r="C14" s="9" t="n"/>
      <c r="D14" s="12" t="n">
        <v>8</v>
      </c>
      <c r="E14" s="9" t="n"/>
      <c r="F14" s="11" t="inlineStr">
        <is>
          <t>Worst case, not average. The one people forget.</t>
        </is>
      </c>
      <c r="G14" s="1" t="n"/>
      <c r="H14" s="1" t="n"/>
    </row>
    <row r="15" ht="8" customHeight="1">
      <c r="A15" s="1" t="n"/>
      <c r="B15" s="1" t="n"/>
      <c r="C15" s="1" t="n"/>
      <c r="D15" s="1" t="n"/>
      <c r="E15" s="1" t="n"/>
      <c r="F15" s="1" t="n"/>
      <c r="G15" s="1" t="n"/>
      <c r="H15" s="1" t="n"/>
    </row>
    <row r="16" ht="14" customHeight="1">
      <c r="A16" s="1" t="n"/>
      <c r="B16" s="2" t="inlineStr">
        <is>
          <t>03  YOUR CUSHION</t>
        </is>
      </c>
      <c r="C16" s="1" t="n"/>
      <c r="D16" s="1" t="n"/>
      <c r="E16" s="1" t="n"/>
      <c r="F16" s="1" t="n"/>
      <c r="G16" s="1" t="n"/>
      <c r="H16" s="1" t="n"/>
    </row>
    <row r="17" ht="22" customHeight="1">
      <c r="A17" s="1" t="n"/>
      <c r="B17" s="8" t="inlineStr">
        <is>
          <t>Minimum profit per sale</t>
        </is>
      </c>
      <c r="C17" s="9" t="n"/>
      <c r="D17" s="12" t="n">
        <v>1</v>
      </c>
      <c r="E17" s="9" t="n"/>
      <c r="F17" s="11" t="inlineStr">
        <is>
          <t>Your cushion. Not a fee — your floor above zero.</t>
        </is>
      </c>
      <c r="G17" s="1" t="n"/>
      <c r="H17" s="1" t="n"/>
    </row>
    <row r="18" ht="8" customHeight="1">
      <c r="A18" s="1" t="n"/>
      <c r="B18" s="1" t="n"/>
      <c r="C18" s="1" t="n"/>
      <c r="D18" s="1" t="n"/>
      <c r="E18" s="1" t="n"/>
      <c r="F18" s="1" t="n"/>
      <c r="G18" s="1" t="n"/>
      <c r="H18" s="1" t="n"/>
    </row>
    <row r="19" ht="14" customHeight="1">
      <c r="A19" s="1" t="n"/>
      <c r="B19" s="2" t="inlineStr">
        <is>
          <t>04  CURRENCY SYMBOL</t>
        </is>
      </c>
      <c r="C19" s="1" t="n"/>
      <c r="D19" s="1" t="n"/>
      <c r="E19" s="1" t="n"/>
      <c r="F19" s="1" t="n"/>
      <c r="G19" s="1" t="n"/>
      <c r="H19" s="1" t="n"/>
    </row>
    <row r="20" ht="22" customHeight="1">
      <c r="A20" s="1" t="n"/>
      <c r="B20" s="8" t="inlineStr">
        <is>
          <t>Currency symbol</t>
        </is>
      </c>
      <c r="C20" s="9" t="n"/>
      <c r="D20" s="13" t="inlineStr">
        <is>
          <t>$</t>
        </is>
      </c>
      <c r="E20" s="9" t="n"/>
      <c r="F20" s="11" t="inlineStr">
        <is>
          <t>Cosmetic. This sheet does not convert currencies.</t>
        </is>
      </c>
      <c r="G20" s="1" t="n"/>
      <c r="H20" s="1" t="n"/>
    </row>
    <row r="21" ht="8" customHeight="1">
      <c r="A21" s="1" t="n"/>
      <c r="B21" s="1" t="n"/>
      <c r="C21" s="1" t="n"/>
      <c r="D21" s="1" t="n"/>
      <c r="E21" s="1" t="n"/>
      <c r="F21" s="1" t="n"/>
      <c r="G21" s="1" t="n"/>
      <c r="H21" s="1" t="n"/>
    </row>
    <row r="22" ht="14" customHeight="1">
      <c r="A22" s="1" t="n"/>
      <c r="B22" s="2" t="inlineStr">
        <is>
          <t>05  CALCULATED FOR YOU</t>
        </is>
      </c>
      <c r="C22" s="1" t="n"/>
      <c r="D22" s="1" t="n"/>
      <c r="E22" s="1" t="n"/>
      <c r="F22" s="1" t="n"/>
      <c r="G22" s="1" t="n"/>
      <c r="H22" s="1" t="n"/>
    </row>
    <row r="23" ht="28" customHeight="1">
      <c r="A23" s="1" t="n"/>
      <c r="B23" s="14" t="inlineStr">
        <is>
          <t>Total % fees</t>
        </is>
      </c>
      <c r="C23" s="15" t="n"/>
      <c r="D23" s="16">
        <f>$D$7+$D$8+$D$9</f>
        <v/>
      </c>
      <c r="E23" s="15" t="n"/>
      <c r="F23" s="17" t="inlineStr">
        <is>
          <t>Platform + processing + offsite ads. Every floor in this file divides by what's left.</t>
        </is>
      </c>
      <c r="G23" s="1" t="n"/>
      <c r="H23" s="1" t="n"/>
    </row>
    <row r="24" ht="8" customHeight="1">
      <c r="A24" s="1" t="n"/>
      <c r="B24" s="1" t="n"/>
      <c r="C24" s="1" t="n"/>
      <c r="D24" s="1" t="n"/>
      <c r="E24" s="1" t="n"/>
      <c r="F24" s="1" t="n"/>
      <c r="G24" s="1" t="n"/>
      <c r="H24" s="1" t="n"/>
    </row>
    <row r="25" ht="14" customHeight="1">
      <c r="A25" s="1" t="n"/>
      <c r="B25" s="2" t="inlineStr">
        <is>
          <t>06  WHAT THIS IS NOT</t>
        </is>
      </c>
      <c r="C25" s="1" t="n"/>
      <c r="D25" s="1" t="n"/>
      <c r="E25" s="1" t="n"/>
      <c r="F25" s="1" t="n"/>
      <c r="G25" s="1" t="n"/>
      <c r="H25" s="1" t="n"/>
    </row>
    <row r="26" ht="20" customHeight="1">
      <c r="A26" s="1" t="n"/>
      <c r="B26" s="6" t="inlineStr">
        <is>
          <t>A calculator, not accounting or tax advice. It does not file anything or know your local rules.</t>
        </is>
      </c>
      <c r="C26" s="7" t="n"/>
      <c r="D26" s="7" t="n"/>
      <c r="E26" s="7" t="n"/>
      <c r="F26" s="7" t="n"/>
      <c r="G26" s="1" t="n"/>
      <c r="H26" s="1" t="n"/>
    </row>
    <row r="27" ht="22" customHeight="1">
      <c r="A27" s="1" t="n"/>
      <c r="B27" s="1" t="n"/>
      <c r="C27" s="1" t="n"/>
      <c r="D27" s="1" t="n"/>
      <c r="E27" s="1" t="n"/>
      <c r="F27" s="1" t="n"/>
      <c r="G27" s="1" t="n"/>
      <c r="H27" s="1" t="n"/>
    </row>
    <row r="28" ht="22" customHeight="1">
      <c r="A28" s="1" t="n"/>
      <c r="B28" s="1" t="n"/>
      <c r="C28" s="1" t="n"/>
      <c r="D28" s="1" t="n"/>
      <c r="E28" s="1" t="n"/>
      <c r="F28" s="1" t="n"/>
      <c r="G28" s="1" t="n"/>
      <c r="H28" s="1" t="n"/>
    </row>
    <row r="29" ht="22" customHeight="1">
      <c r="A29" s="1" t="n"/>
      <c r="B29" s="1" t="n"/>
      <c r="C29" s="1" t="n"/>
      <c r="D29" s="1" t="n"/>
      <c r="E29" s="1" t="n"/>
      <c r="F29" s="1" t="n"/>
      <c r="G29" s="1" t="n"/>
      <c r="H29" s="1" t="n"/>
    </row>
    <row r="30" ht="22" customHeight="1">
      <c r="A30" s="1" t="n"/>
      <c r="B30" s="1" t="n"/>
      <c r="C30" s="1" t="n"/>
      <c r="D30" s="1" t="n"/>
      <c r="E30" s="1" t="n"/>
      <c r="F30" s="1" t="n"/>
      <c r="G30" s="1" t="n"/>
      <c r="H30" s="1" t="n"/>
    </row>
    <row r="31" ht="22" customHeight="1">
      <c r="A31" s="1" t="n"/>
      <c r="B31" s="1" t="n"/>
      <c r="C31" s="1" t="n"/>
      <c r="D31" s="1" t="n"/>
      <c r="E31" s="1" t="n"/>
      <c r="F31" s="1" t="n"/>
      <c r="G31" s="1" t="n"/>
      <c r="H31" s="1" t="n"/>
    </row>
    <row r="32" ht="22" customHeight="1">
      <c r="A32" s="1" t="n"/>
      <c r="B32" s="1" t="n"/>
      <c r="C32" s="1" t="n"/>
      <c r="D32" s="1" t="n"/>
      <c r="E32" s="1" t="n"/>
      <c r="F32" s="1" t="n"/>
      <c r="G32" s="1" t="n"/>
      <c r="H32" s="1" t="n"/>
    </row>
  </sheetData>
  <mergeCells count="3">
    <mergeCell ref="B4:F4"/>
    <mergeCell ref="B26:F26"/>
    <mergeCell ref="B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11111"/>
    <outlinePr summaryBelow="1" summaryRight="1"/>
    <pageSetUpPr/>
  </sheetPr>
  <dimension ref="A1:H26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.5" customWidth="1" min="3" max="3"/>
    <col width="20" customWidth="1" min="4" max="4"/>
    <col width="2.5" customWidth="1" min="5" max="5"/>
    <col width="42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14" customHeight="1">
      <c r="A2" s="1" t="n"/>
      <c r="B2" s="2" t="inlineStr">
        <is>
          <t>PRICE FLOOR SHEET</t>
        </is>
      </c>
      <c r="C2" s="1" t="n"/>
      <c r="D2" s="1" t="n"/>
      <c r="E2" s="1" t="n"/>
      <c r="F2" s="3" t="inlineStr">
        <is>
          <t>findhotstuff.com</t>
        </is>
      </c>
      <c r="G2" s="1" t="n"/>
      <c r="H2" s="1" t="n"/>
    </row>
    <row r="3" ht="28" customHeight="1">
      <c r="A3" s="1" t="n"/>
      <c r="B3" s="4" t="inlineStr">
        <is>
          <t>What is the lowest price I can sell this at?</t>
        </is>
      </c>
      <c r="C3" s="5" t="n"/>
      <c r="D3" s="5" t="n"/>
      <c r="E3" s="5" t="n"/>
      <c r="F3" s="5" t="n"/>
      <c r="G3" s="1" t="n"/>
      <c r="H3" s="1" t="n"/>
    </row>
    <row r="4" ht="16" customHeight="1">
      <c r="A4" s="1" t="n"/>
      <c r="B4" s="6" t="inlineStr">
        <is>
          <t>White cells are yours to type in. Grey cells are worked out. Nothing is locked.</t>
        </is>
      </c>
      <c r="C4" s="7" t="n"/>
      <c r="D4" s="7" t="n"/>
      <c r="E4" s="7" t="n"/>
      <c r="F4" s="7" t="n"/>
      <c r="G4" s="1" t="n"/>
      <c r="H4" s="1" t="n"/>
    </row>
    <row r="5" ht="8" customHeight="1">
      <c r="A5" s="1" t="n"/>
      <c r="B5" s="1" t="n"/>
      <c r="C5" s="1" t="n"/>
      <c r="D5" s="1" t="n"/>
      <c r="E5" s="1" t="n"/>
      <c r="F5" s="1" t="n"/>
      <c r="G5" s="1" t="n"/>
      <c r="H5" s="1" t="n"/>
    </row>
    <row r="6" ht="14" customHeight="1">
      <c r="A6" s="1" t="n"/>
      <c r="B6" s="2" t="inlineStr">
        <is>
          <t>01  WHAT YOU TYPE</t>
        </is>
      </c>
      <c r="C6" s="1" t="n"/>
      <c r="D6" s="1" t="n"/>
      <c r="E6" s="1" t="n"/>
      <c r="F6" s="1" t="n"/>
      <c r="G6" s="1" t="n"/>
      <c r="H6" s="1" t="n"/>
    </row>
    <row r="7" ht="22" customHeight="1">
      <c r="A7" s="1" t="n"/>
      <c r="B7" s="8" t="inlineStr">
        <is>
          <t>What the item costs you</t>
        </is>
      </c>
      <c r="C7" s="9" t="n"/>
      <c r="D7" s="12" t="n">
        <v>6</v>
      </c>
      <c r="E7" s="9" t="n"/>
      <c r="F7" s="11" t="inlineStr">
        <is>
          <t>Wholesale or print cost. Not including shipping.</t>
        </is>
      </c>
      <c r="G7" s="1" t="n"/>
      <c r="H7" s="1" t="n"/>
    </row>
    <row r="8" ht="22" customHeight="1">
      <c r="A8" s="1" t="n"/>
      <c r="B8" s="8" t="inlineStr">
        <is>
          <t>The price you charge</t>
        </is>
      </c>
      <c r="C8" s="9" t="n"/>
      <c r="D8" s="12" t="n">
        <v>12</v>
      </c>
      <c r="E8" s="9" t="n"/>
      <c r="F8" s="11" t="inlineStr">
        <is>
          <t>Change this and watch the block below.</t>
        </is>
      </c>
      <c r="G8" s="1" t="n"/>
      <c r="H8" s="1" t="n"/>
    </row>
    <row r="9" ht="8" customHeight="1">
      <c r="A9" s="1" t="n"/>
      <c r="B9" s="1" t="n"/>
      <c r="C9" s="1" t="n"/>
      <c r="D9" s="1" t="n"/>
      <c r="E9" s="1" t="n"/>
      <c r="F9" s="1" t="n"/>
      <c r="G9" s="1" t="n"/>
      <c r="H9" s="1" t="n"/>
    </row>
    <row r="10" ht="14" customHeight="1">
      <c r="A10" s="1" t="n"/>
      <c r="B10" s="2">
        <f>"02  YOUR PRICE FLOOR ("&amp;'Start here'!$D$20&amp;")"</f>
        <v/>
      </c>
      <c r="C10" s="1" t="n"/>
      <c r="D10" s="1" t="n"/>
      <c r="E10" s="1" t="n"/>
      <c r="F10" s="1" t="n"/>
      <c r="G10" s="1" t="n"/>
      <c r="H10" s="1" t="n"/>
    </row>
    <row r="11" ht="52" customHeight="1">
      <c r="A11" s="1" t="n"/>
      <c r="B11" s="18">
        <f>IF('Start here'!$D$23&gt;=1,"FEES ≥ 100%",($D$7+'Start here'!$D$14+('Start here'!$D$12+'Start here'!$D$13)+'Start here'!$D$17)/(1-'Start here'!$D$23))</f>
        <v/>
      </c>
      <c r="C11" s="18" t="n"/>
      <c r="D11" s="18" t="n"/>
      <c r="E11" s="1" t="n"/>
      <c r="F11" s="19" t="inlineStr">
        <is>
          <t>Sell below this and a sale earns less than your minimum profit — or loses money outright.</t>
        </is>
      </c>
      <c r="G11" s="1" t="n"/>
      <c r="H11" s="1" t="n"/>
    </row>
    <row r="12" ht="14" customHeight="1">
      <c r="A12" s="1" t="n"/>
      <c r="B12" s="2">
        <f>"PROFIT AT YOUR PRICE ("&amp;'Start here'!$D$20&amp;")"</f>
        <v/>
      </c>
      <c r="C12" s="1" t="n"/>
      <c r="D12" s="1" t="n"/>
      <c r="E12" s="1" t="n"/>
      <c r="F12" s="1" t="n"/>
      <c r="G12" s="1" t="n"/>
      <c r="H12" s="1" t="n"/>
    </row>
    <row r="13" ht="22" customHeight="1">
      <c r="A13" s="1" t="n"/>
      <c r="B13" s="20">
        <f>IF($D$8="","",$D$8*(1-'Start here'!$D$23)-('Start here'!$D$12+'Start here'!$D$13)-'Start here'!$D$14-$D$7)</f>
        <v/>
      </c>
      <c r="C13" s="20" t="n"/>
      <c r="D13" s="20" t="n"/>
      <c r="E13" s="1" t="n"/>
      <c r="F13" s="1" t="n"/>
      <c r="G13" s="1" t="n"/>
      <c r="H13" s="1" t="n"/>
    </row>
    <row r="14" ht="8" customHeight="1">
      <c r="A14" s="1" t="n"/>
      <c r="B14" s="1" t="n"/>
      <c r="C14" s="1" t="n"/>
      <c r="D14" s="1" t="n"/>
      <c r="E14" s="1" t="n"/>
      <c r="F14" s="1" t="n"/>
      <c r="G14" s="1" t="n"/>
      <c r="H14" s="1" t="n"/>
    </row>
    <row r="15" ht="14" customHeight="1">
      <c r="A15" s="1" t="n"/>
      <c r="B15" s="2" t="inlineStr">
        <is>
          <t>03  VERDICT</t>
        </is>
      </c>
      <c r="C15" s="1" t="n"/>
      <c r="D15" s="1" t="n"/>
      <c r="E15" s="1" t="n"/>
      <c r="F15" s="1" t="n"/>
      <c r="G15" s="1" t="n"/>
      <c r="H15" s="1" t="n"/>
    </row>
    <row r="16" ht="36" customHeight="1">
      <c r="A16" s="1" t="n"/>
      <c r="B16" s="21">
        <f>IF($D$8="","",IF($B$13&lt;0,"LOSES",IF($D$8&lt;$B$11,"UNDER","SAFE")))</f>
        <v/>
      </c>
      <c r="C16" s="21" t="n"/>
      <c r="D16" s="21" t="n"/>
      <c r="E16" s="1" t="n"/>
      <c r="F16" s="1" t="n"/>
      <c r="G16" s="1" t="n"/>
      <c r="H16" s="1" t="n"/>
    </row>
    <row r="17" ht="104" customHeight="1">
      <c r="A17" s="1" t="n"/>
      <c r="B17" s="22">
        <f>IF($D$8="","—",'Start here'!$D$20&amp;TEXT(ABS($B$13),"#,##0.00"))</f>
        <v/>
      </c>
      <c r="C17" s="22" t="n"/>
      <c r="D17" s="22" t="n"/>
      <c r="E17" s="1" t="n"/>
      <c r="F17" s="19" t="inlineStr">
        <is>
          <t>Red is the whole point of this sheet. A 2x markup goes red more often than anyone expects.</t>
        </is>
      </c>
      <c r="G17" s="1" t="n"/>
      <c r="H17" s="1" t="n"/>
    </row>
    <row r="18" ht="32" customHeight="1">
      <c r="A18" s="1" t="n"/>
      <c r="B18" s="23">
        <f>IF($D$8="","ENTER YOUR PRICE ABOVE",IF($B$13&lt;0,"LOST ON EVERY SALE",IF($D$8&lt;$B$11,"MADE, BUT UNDER YOUR MINIMUM","CLEAR ON EVERY SALE")))</f>
        <v/>
      </c>
      <c r="C18" s="23" t="n"/>
      <c r="D18" s="23" t="n"/>
      <c r="E18" s="1" t="n"/>
      <c r="F18" s="1" t="n"/>
      <c r="G18" s="1" t="n"/>
      <c r="H18" s="1" t="n"/>
    </row>
    <row r="19" ht="8" customHeight="1">
      <c r="A19" s="1" t="n"/>
      <c r="B19" s="1" t="n"/>
      <c r="C19" s="1" t="n"/>
      <c r="D19" s="1" t="n"/>
      <c r="E19" s="1" t="n"/>
      <c r="F19" s="1" t="n"/>
      <c r="G19" s="1" t="n"/>
      <c r="H19" s="1" t="n"/>
    </row>
    <row r="20" ht="20" customHeight="1">
      <c r="A20" s="1" t="n"/>
      <c r="B20" s="6" t="inlineStr">
        <is>
          <t>A calculator, not accounting or tax advice.</t>
        </is>
      </c>
      <c r="C20" s="7" t="n"/>
      <c r="D20" s="7" t="n"/>
      <c r="E20" s="7" t="n"/>
      <c r="F20" s="7" t="n"/>
      <c r="G20" s="1" t="n"/>
      <c r="H20" s="1" t="n"/>
    </row>
    <row r="21" ht="22" customHeight="1">
      <c r="A21" s="1" t="n"/>
      <c r="B21" s="1" t="n"/>
      <c r="C21" s="1" t="n"/>
      <c r="D21" s="1" t="n"/>
      <c r="E21" s="1" t="n"/>
      <c r="F21" s="1" t="n"/>
      <c r="G21" s="1" t="n"/>
      <c r="H21" s="1" t="n"/>
    </row>
    <row r="22" ht="22" customHeight="1">
      <c r="A22" s="1" t="n"/>
      <c r="B22" s="1" t="n"/>
      <c r="C22" s="1" t="n"/>
      <c r="D22" s="1" t="n"/>
      <c r="E22" s="1" t="n"/>
      <c r="F22" s="1" t="n"/>
      <c r="G22" s="1" t="n"/>
      <c r="H22" s="1" t="n"/>
    </row>
    <row r="23" ht="22" customHeight="1">
      <c r="A23" s="1" t="n"/>
      <c r="B23" s="1" t="n"/>
      <c r="C23" s="1" t="n"/>
      <c r="D23" s="1" t="n"/>
      <c r="E23" s="1" t="n"/>
      <c r="F23" s="1" t="n"/>
      <c r="G23" s="1" t="n"/>
      <c r="H23" s="1" t="n"/>
    </row>
    <row r="24" ht="22" customHeight="1">
      <c r="A24" s="1" t="n"/>
      <c r="B24" s="1" t="n"/>
      <c r="C24" s="1" t="n"/>
      <c r="D24" s="1" t="n"/>
      <c r="E24" s="1" t="n"/>
      <c r="F24" s="1" t="n"/>
      <c r="G24" s="1" t="n"/>
      <c r="H24" s="1" t="n"/>
    </row>
    <row r="25" ht="22" customHeight="1">
      <c r="A25" s="1" t="n"/>
      <c r="B25" s="1" t="n"/>
      <c r="C25" s="1" t="n"/>
      <c r="D25" s="1" t="n"/>
      <c r="E25" s="1" t="n"/>
      <c r="F25" s="1" t="n"/>
      <c r="G25" s="1" t="n"/>
      <c r="H25" s="1" t="n"/>
    </row>
    <row r="26" ht="22" customHeight="1">
      <c r="A26" s="1" t="n"/>
      <c r="B26" s="1" t="n"/>
      <c r="C26" s="1" t="n"/>
      <c r="D26" s="1" t="n"/>
      <c r="E26" s="1" t="n"/>
      <c r="F26" s="1" t="n"/>
      <c r="G26" s="1" t="n"/>
      <c r="H26" s="1" t="n"/>
    </row>
  </sheetData>
  <mergeCells count="8">
    <mergeCell ref="B4:F4"/>
    <mergeCell ref="B11:D11"/>
    <mergeCell ref="B20:F20"/>
    <mergeCell ref="B3:F3"/>
    <mergeCell ref="B17:D17"/>
    <mergeCell ref="B18:D18"/>
    <mergeCell ref="B13:D13"/>
    <mergeCell ref="B16:D16"/>
  </mergeCells>
  <conditionalFormatting sqref="B16:D16">
    <cfRule type="expression" priority="1" dxfId="0">
      <formula>OR($B$16="",$B$16="SAFE")</formula>
    </cfRule>
  </conditionalFormatting>
  <conditionalFormatting sqref="B17:D17">
    <cfRule type="expression" priority="2" dxfId="0">
      <formula>OR($B$16="",$B$16="SAFE")</formula>
    </cfRule>
  </conditionalFormatting>
  <conditionalFormatting sqref="B18:D18">
    <cfRule type="expression" priority="3" dxfId="0">
      <formula>OR($B$16="",$B$16="SAFE")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D9D9D9"/>
    <outlinePr summaryBelow="1" summaryRight="1"/>
    <pageSetUpPr/>
  </sheetPr>
  <dimension ref="A1:L44"/>
  <sheetViews>
    <sheetView showGridLines="0" zoomScale="10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2" customWidth="1" min="2" max="2"/>
    <col width="28" customWidth="1" min="3" max="3"/>
    <col width="11" customWidth="1" min="4" max="4"/>
    <col width="16" customWidth="1" min="5" max="5"/>
    <col width="12" customWidth="1" min="6" max="6"/>
    <col width="11" customWidth="1" min="7" max="7"/>
    <col width="12" customWidth="1" min="8" max="8"/>
    <col width="20" customWidth="1" min="9" max="9"/>
    <col width="3" customWidth="1" min="10" max="10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14" customHeight="1">
      <c r="A2" s="1" t="n"/>
      <c r="B2" s="2" t="inlineStr">
        <is>
          <t>PRICE FLOOR SHEET</t>
        </is>
      </c>
      <c r="C2" s="1" t="n"/>
      <c r="D2" s="1" t="n"/>
      <c r="E2" s="1" t="n"/>
      <c r="F2" s="1" t="n"/>
      <c r="G2" s="1" t="n"/>
      <c r="H2" s="1" t="n"/>
      <c r="I2" s="3" t="inlineStr">
        <is>
          <t>findhotstuff.com</t>
        </is>
      </c>
      <c r="J2" s="1" t="n"/>
      <c r="K2" s="1" t="n"/>
      <c r="L2" s="1" t="n"/>
    </row>
    <row r="3" ht="28" customHeight="1">
      <c r="A3" s="1" t="n"/>
      <c r="B3" s="4" t="inlineStr">
        <is>
          <t>Every product, checked against its own floor</t>
        </is>
      </c>
      <c r="C3" s="5" t="n"/>
      <c r="D3" s="5" t="n"/>
      <c r="E3" s="5" t="n"/>
      <c r="F3" s="5" t="n"/>
      <c r="G3" s="5" t="n"/>
      <c r="H3" s="5" t="n"/>
      <c r="I3" s="5" t="n"/>
      <c r="J3" s="1" t="n"/>
      <c r="K3" s="1" t="n"/>
      <c r="L3" s="1" t="n"/>
    </row>
    <row r="4" ht="16" customHeight="1">
      <c r="A4" s="1" t="n"/>
      <c r="B4" s="6" t="inlineStr">
        <is>
          <t>White columns are yours. Grey columns are worked out. Leave SHIPPING blank to use your default from Start here.</t>
        </is>
      </c>
      <c r="C4" s="7" t="n"/>
      <c r="D4" s="7" t="n"/>
      <c r="E4" s="7" t="n"/>
      <c r="F4" s="7" t="n"/>
      <c r="G4" s="7" t="n"/>
      <c r="H4" s="7" t="n"/>
      <c r="I4" s="7" t="n"/>
      <c r="J4" s="1" t="n"/>
      <c r="K4" s="1" t="n"/>
      <c r="L4" s="1" t="n"/>
    </row>
    <row r="5" ht="8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</row>
    <row r="6" ht="28" customHeight="1">
      <c r="A6" s="1" t="n"/>
      <c r="B6" s="24" t="inlineStr">
        <is>
          <t>SKU</t>
        </is>
      </c>
      <c r="C6" s="24" t="inlineStr">
        <is>
          <t>NAME</t>
        </is>
      </c>
      <c r="D6" s="25" t="inlineStr">
        <is>
          <t>COST (YOU)</t>
        </is>
      </c>
      <c r="E6" s="25" t="inlineStr">
        <is>
          <t>SHIPPING (YOU)</t>
        </is>
      </c>
      <c r="F6" s="25" t="inlineStr">
        <is>
          <t>YOUR PRICE (YOU)</t>
        </is>
      </c>
      <c r="G6" s="25" t="inlineStr">
        <is>
          <t>FLOOR (AUTO)</t>
        </is>
      </c>
      <c r="H6" s="25" t="inlineStr">
        <is>
          <t>PROFIT/SALE (AUTO)</t>
        </is>
      </c>
      <c r="I6" s="26" t="inlineStr">
        <is>
          <t>VERDICT (AUTO)</t>
        </is>
      </c>
      <c r="J6" s="1" t="n"/>
      <c r="K6" s="1" t="n"/>
      <c r="L6" s="1" t="n"/>
    </row>
    <row r="7" ht="20" customHeight="1">
      <c r="A7" s="1" t="n"/>
      <c r="B7" s="8" t="n"/>
      <c r="C7" s="8" t="n"/>
      <c r="D7" s="27" t="n"/>
      <c r="E7" s="27" t="n"/>
      <c r="F7" s="27" t="n"/>
      <c r="G7" s="28">
        <f>IF($D7="","",IF('Start here'!$D$23&gt;=1,"n/a",($D7+IF($E7="",'Start here'!$D$14,$E7)+('Start here'!$D$12+'Start here'!$D$13)+'Start here'!$D$17)/(1-'Start here'!$D$23)))</f>
        <v/>
      </c>
      <c r="H7" s="28">
        <f>IF(OR($D7="",$F7=""),"",$F7*(1-'Start here'!$D$23)-('Start here'!$D$12+'Start here'!$D$13)-IF($E7="",'Start here'!$D$14,$E7)-$D7)</f>
        <v/>
      </c>
      <c r="I7" s="29">
        <f>IF(OR($D7="",$F7=""),"",IF($H7&lt;0,"-"&amp;'Start here'!$D$20&amp;TEXT(ABS($H7),"#,##0.00"),IF($F7&lt;$G7,"UNDER","SAFE")))</f>
        <v/>
      </c>
      <c r="J7" s="1" t="n"/>
      <c r="K7" s="1" t="n"/>
      <c r="L7" s="1" t="n"/>
    </row>
    <row r="8" ht="20" customHeight="1">
      <c r="A8" s="1" t="n"/>
      <c r="B8" s="8" t="n"/>
      <c r="C8" s="8" t="n"/>
      <c r="D8" s="27" t="n"/>
      <c r="E8" s="27" t="n"/>
      <c r="F8" s="27" t="n"/>
      <c r="G8" s="28">
        <f>IF($D8="","",IF('Start here'!$D$23&gt;=1,"n/a",($D8+IF($E8="",'Start here'!$D$14,$E8)+('Start here'!$D$12+'Start here'!$D$13)+'Start here'!$D$17)/(1-'Start here'!$D$23)))</f>
        <v/>
      </c>
      <c r="H8" s="28">
        <f>IF(OR($D8="",$F8=""),"",$F8*(1-'Start here'!$D$23)-('Start here'!$D$12+'Start here'!$D$13)-IF($E8="",'Start here'!$D$14,$E8)-$D8)</f>
        <v/>
      </c>
      <c r="I8" s="29">
        <f>IF(OR($D8="",$F8=""),"",IF($H8&lt;0,"-"&amp;'Start here'!$D$20&amp;TEXT(ABS($H8),"#,##0.00"),IF($F8&lt;$G8,"UNDER","SAFE")))</f>
        <v/>
      </c>
      <c r="J8" s="1" t="n"/>
      <c r="K8" s="1" t="n"/>
      <c r="L8" s="1" t="n"/>
    </row>
    <row r="9" ht="20" customHeight="1">
      <c r="A9" s="1" t="n"/>
      <c r="B9" s="8" t="n"/>
      <c r="C9" s="8" t="n"/>
      <c r="D9" s="27" t="n"/>
      <c r="E9" s="27" t="n"/>
      <c r="F9" s="27" t="n"/>
      <c r="G9" s="28">
        <f>IF($D9="","",IF('Start here'!$D$23&gt;=1,"n/a",($D9+IF($E9="",'Start here'!$D$14,$E9)+('Start here'!$D$12+'Start here'!$D$13)+'Start here'!$D$17)/(1-'Start here'!$D$23)))</f>
        <v/>
      </c>
      <c r="H9" s="28">
        <f>IF(OR($D9="",$F9=""),"",$F9*(1-'Start here'!$D$23)-('Start here'!$D$12+'Start here'!$D$13)-IF($E9="",'Start here'!$D$14,$E9)-$D9)</f>
        <v/>
      </c>
      <c r="I9" s="29">
        <f>IF(OR($D9="",$F9=""),"",IF($H9&lt;0,"-"&amp;'Start here'!$D$20&amp;TEXT(ABS($H9),"#,##0.00"),IF($F9&lt;$G9,"UNDER","SAFE")))</f>
        <v/>
      </c>
      <c r="J9" s="1" t="n"/>
      <c r="K9" s="1" t="n"/>
      <c r="L9" s="1" t="n"/>
    </row>
    <row r="10" ht="20" customHeight="1">
      <c r="A10" s="1" t="n"/>
      <c r="B10" s="8" t="n"/>
      <c r="C10" s="8" t="n"/>
      <c r="D10" s="27" t="n"/>
      <c r="E10" s="27" t="n"/>
      <c r="F10" s="27" t="n"/>
      <c r="G10" s="28">
        <f>IF($D10="","",IF('Start here'!$D$23&gt;=1,"n/a",($D10+IF($E10="",'Start here'!$D$14,$E10)+('Start here'!$D$12+'Start here'!$D$13)+'Start here'!$D$17)/(1-'Start here'!$D$23)))</f>
        <v/>
      </c>
      <c r="H10" s="28">
        <f>IF(OR($D10="",$F10=""),"",$F10*(1-'Start here'!$D$23)-('Start here'!$D$12+'Start here'!$D$13)-IF($E10="",'Start here'!$D$14,$E10)-$D10)</f>
        <v/>
      </c>
      <c r="I10" s="29">
        <f>IF(OR($D10="",$F10=""),"",IF($H10&lt;0,"-"&amp;'Start here'!$D$20&amp;TEXT(ABS($H10),"#,##0.00"),IF($F10&lt;$G10,"UNDER","SAFE")))</f>
        <v/>
      </c>
      <c r="J10" s="1" t="n"/>
      <c r="K10" s="1" t="n"/>
      <c r="L10" s="1" t="n"/>
    </row>
    <row r="11" ht="20" customHeight="1">
      <c r="A11" s="1" t="n"/>
      <c r="B11" s="8" t="n"/>
      <c r="C11" s="8" t="n"/>
      <c r="D11" s="27" t="n"/>
      <c r="E11" s="27" t="n"/>
      <c r="F11" s="27" t="n"/>
      <c r="G11" s="28">
        <f>IF($D11="","",IF('Start here'!$D$23&gt;=1,"n/a",($D11+IF($E11="",'Start here'!$D$14,$E11)+('Start here'!$D$12+'Start here'!$D$13)+'Start here'!$D$17)/(1-'Start here'!$D$23)))</f>
        <v/>
      </c>
      <c r="H11" s="28">
        <f>IF(OR($D11="",$F11=""),"",$F11*(1-'Start here'!$D$23)-('Start here'!$D$12+'Start here'!$D$13)-IF($E11="",'Start here'!$D$14,$E11)-$D11)</f>
        <v/>
      </c>
      <c r="I11" s="29">
        <f>IF(OR($D11="",$F11=""),"",IF($H11&lt;0,"-"&amp;'Start here'!$D$20&amp;TEXT(ABS($H11),"#,##0.00"),IF($F11&lt;$G11,"UNDER","SAFE")))</f>
        <v/>
      </c>
      <c r="J11" s="1" t="n"/>
      <c r="K11" s="1" t="n"/>
      <c r="L11" s="1" t="n"/>
    </row>
    <row r="12" ht="20" customHeight="1">
      <c r="A12" s="1" t="n"/>
      <c r="B12" s="8" t="n"/>
      <c r="C12" s="8" t="n"/>
      <c r="D12" s="27" t="n"/>
      <c r="E12" s="27" t="n"/>
      <c r="F12" s="27" t="n"/>
      <c r="G12" s="28">
        <f>IF($D12="","",IF('Start here'!$D$23&gt;=1,"n/a",($D12+IF($E12="",'Start here'!$D$14,$E12)+('Start here'!$D$12+'Start here'!$D$13)+'Start here'!$D$17)/(1-'Start here'!$D$23)))</f>
        <v/>
      </c>
      <c r="H12" s="28">
        <f>IF(OR($D12="",$F12=""),"",$F12*(1-'Start here'!$D$23)-('Start here'!$D$12+'Start here'!$D$13)-IF($E12="",'Start here'!$D$14,$E12)-$D12)</f>
        <v/>
      </c>
      <c r="I12" s="29">
        <f>IF(OR($D12="",$F12=""),"",IF($H12&lt;0,"-"&amp;'Start here'!$D$20&amp;TEXT(ABS($H12),"#,##0.00"),IF($F12&lt;$G12,"UNDER","SAFE")))</f>
        <v/>
      </c>
      <c r="J12" s="1" t="n"/>
      <c r="K12" s="1" t="n"/>
      <c r="L12" s="1" t="n"/>
    </row>
    <row r="13" ht="20" customHeight="1">
      <c r="A13" s="1" t="n"/>
      <c r="B13" s="8" t="n"/>
      <c r="C13" s="8" t="n"/>
      <c r="D13" s="27" t="n"/>
      <c r="E13" s="27" t="n"/>
      <c r="F13" s="27" t="n"/>
      <c r="G13" s="28">
        <f>IF($D13="","",IF('Start here'!$D$23&gt;=1,"n/a",($D13+IF($E13="",'Start here'!$D$14,$E13)+('Start here'!$D$12+'Start here'!$D$13)+'Start here'!$D$17)/(1-'Start here'!$D$23)))</f>
        <v/>
      </c>
      <c r="H13" s="28">
        <f>IF(OR($D13="",$F13=""),"",$F13*(1-'Start here'!$D$23)-('Start here'!$D$12+'Start here'!$D$13)-IF($E13="",'Start here'!$D$14,$E13)-$D13)</f>
        <v/>
      </c>
      <c r="I13" s="29">
        <f>IF(OR($D13="",$F13=""),"",IF($H13&lt;0,"-"&amp;'Start here'!$D$20&amp;TEXT(ABS($H13),"#,##0.00"),IF($F13&lt;$G13,"UNDER","SAFE")))</f>
        <v/>
      </c>
      <c r="J13" s="1" t="n"/>
      <c r="K13" s="1" t="n"/>
      <c r="L13" s="1" t="n"/>
    </row>
    <row r="14" ht="20" customHeight="1">
      <c r="A14" s="1" t="n"/>
      <c r="B14" s="8" t="n"/>
      <c r="C14" s="8" t="n"/>
      <c r="D14" s="27" t="n"/>
      <c r="E14" s="27" t="n"/>
      <c r="F14" s="27" t="n"/>
      <c r="G14" s="28">
        <f>IF($D14="","",IF('Start here'!$D$23&gt;=1,"n/a",($D14+IF($E14="",'Start here'!$D$14,$E14)+('Start here'!$D$12+'Start here'!$D$13)+'Start here'!$D$17)/(1-'Start here'!$D$23)))</f>
        <v/>
      </c>
      <c r="H14" s="28">
        <f>IF(OR($D14="",$F14=""),"",$F14*(1-'Start here'!$D$23)-('Start here'!$D$12+'Start here'!$D$13)-IF($E14="",'Start here'!$D$14,$E14)-$D14)</f>
        <v/>
      </c>
      <c r="I14" s="29">
        <f>IF(OR($D14="",$F14=""),"",IF($H14&lt;0,"-"&amp;'Start here'!$D$20&amp;TEXT(ABS($H14),"#,##0.00"),IF($F14&lt;$G14,"UNDER","SAFE")))</f>
        <v/>
      </c>
      <c r="J14" s="1" t="n"/>
      <c r="K14" s="1" t="n"/>
      <c r="L14" s="1" t="n"/>
    </row>
    <row r="15" ht="20" customHeight="1">
      <c r="A15" s="1" t="n"/>
      <c r="B15" s="8" t="n"/>
      <c r="C15" s="8" t="n"/>
      <c r="D15" s="27" t="n"/>
      <c r="E15" s="27" t="n"/>
      <c r="F15" s="27" t="n"/>
      <c r="G15" s="28">
        <f>IF($D15="","",IF('Start here'!$D$23&gt;=1,"n/a",($D15+IF($E15="",'Start here'!$D$14,$E15)+('Start here'!$D$12+'Start here'!$D$13)+'Start here'!$D$17)/(1-'Start here'!$D$23)))</f>
        <v/>
      </c>
      <c r="H15" s="28">
        <f>IF(OR($D15="",$F15=""),"",$F15*(1-'Start here'!$D$23)-('Start here'!$D$12+'Start here'!$D$13)-IF($E15="",'Start here'!$D$14,$E15)-$D15)</f>
        <v/>
      </c>
      <c r="I15" s="29">
        <f>IF(OR($D15="",$F15=""),"",IF($H15&lt;0,"-"&amp;'Start here'!$D$20&amp;TEXT(ABS($H15),"#,##0.00"),IF($F15&lt;$G15,"UNDER","SAFE")))</f>
        <v/>
      </c>
      <c r="J15" s="1" t="n"/>
      <c r="K15" s="1" t="n"/>
      <c r="L15" s="1" t="n"/>
    </row>
    <row r="16" ht="20" customHeight="1">
      <c r="A16" s="1" t="n"/>
      <c r="B16" s="8" t="n"/>
      <c r="C16" s="8" t="n"/>
      <c r="D16" s="27" t="n"/>
      <c r="E16" s="27" t="n"/>
      <c r="F16" s="27" t="n"/>
      <c r="G16" s="28">
        <f>IF($D16="","",IF('Start here'!$D$23&gt;=1,"n/a",($D16+IF($E16="",'Start here'!$D$14,$E16)+('Start here'!$D$12+'Start here'!$D$13)+'Start here'!$D$17)/(1-'Start here'!$D$23)))</f>
        <v/>
      </c>
      <c r="H16" s="28">
        <f>IF(OR($D16="",$F16=""),"",$F16*(1-'Start here'!$D$23)-('Start here'!$D$12+'Start here'!$D$13)-IF($E16="",'Start here'!$D$14,$E16)-$D16)</f>
        <v/>
      </c>
      <c r="I16" s="29">
        <f>IF(OR($D16="",$F16=""),"",IF($H16&lt;0,"-"&amp;'Start here'!$D$20&amp;TEXT(ABS($H16),"#,##0.00"),IF($F16&lt;$G16,"UNDER","SAFE")))</f>
        <v/>
      </c>
      <c r="J16" s="1" t="n"/>
      <c r="K16" s="1" t="n"/>
      <c r="L16" s="1" t="n"/>
    </row>
    <row r="17" ht="20" customHeight="1">
      <c r="A17" s="1" t="n"/>
      <c r="B17" s="8" t="n"/>
      <c r="C17" s="8" t="n"/>
      <c r="D17" s="27" t="n"/>
      <c r="E17" s="27" t="n"/>
      <c r="F17" s="27" t="n"/>
      <c r="G17" s="28">
        <f>IF($D17="","",IF('Start here'!$D$23&gt;=1,"n/a",($D17+IF($E17="",'Start here'!$D$14,$E17)+('Start here'!$D$12+'Start here'!$D$13)+'Start here'!$D$17)/(1-'Start here'!$D$23)))</f>
        <v/>
      </c>
      <c r="H17" s="28">
        <f>IF(OR($D17="",$F17=""),"",$F17*(1-'Start here'!$D$23)-('Start here'!$D$12+'Start here'!$D$13)-IF($E17="",'Start here'!$D$14,$E17)-$D17)</f>
        <v/>
      </c>
      <c r="I17" s="29">
        <f>IF(OR($D17="",$F17=""),"",IF($H17&lt;0,"-"&amp;'Start here'!$D$20&amp;TEXT(ABS($H17),"#,##0.00"),IF($F17&lt;$G17,"UNDER","SAFE")))</f>
        <v/>
      </c>
      <c r="J17" s="1" t="n"/>
      <c r="K17" s="1" t="n"/>
      <c r="L17" s="1" t="n"/>
    </row>
    <row r="18" ht="20" customHeight="1">
      <c r="A18" s="1" t="n"/>
      <c r="B18" s="8" t="n"/>
      <c r="C18" s="8" t="n"/>
      <c r="D18" s="27" t="n"/>
      <c r="E18" s="27" t="n"/>
      <c r="F18" s="27" t="n"/>
      <c r="G18" s="28">
        <f>IF($D18="","",IF('Start here'!$D$23&gt;=1,"n/a",($D18+IF($E18="",'Start here'!$D$14,$E18)+('Start here'!$D$12+'Start here'!$D$13)+'Start here'!$D$17)/(1-'Start here'!$D$23)))</f>
        <v/>
      </c>
      <c r="H18" s="28">
        <f>IF(OR($D18="",$F18=""),"",$F18*(1-'Start here'!$D$23)-('Start here'!$D$12+'Start here'!$D$13)-IF($E18="",'Start here'!$D$14,$E18)-$D18)</f>
        <v/>
      </c>
      <c r="I18" s="29">
        <f>IF(OR($D18="",$F18=""),"",IF($H18&lt;0,"-"&amp;'Start here'!$D$20&amp;TEXT(ABS($H18),"#,##0.00"),IF($F18&lt;$G18,"UNDER","SAFE")))</f>
        <v/>
      </c>
      <c r="J18" s="1" t="n"/>
      <c r="K18" s="1" t="n"/>
      <c r="L18" s="1" t="n"/>
    </row>
    <row r="19" ht="20" customHeight="1">
      <c r="A19" s="1" t="n"/>
      <c r="B19" s="8" t="n"/>
      <c r="C19" s="8" t="n"/>
      <c r="D19" s="27" t="n"/>
      <c r="E19" s="27" t="n"/>
      <c r="F19" s="27" t="n"/>
      <c r="G19" s="28">
        <f>IF($D19="","",IF('Start here'!$D$23&gt;=1,"n/a",($D19+IF($E19="",'Start here'!$D$14,$E19)+('Start here'!$D$12+'Start here'!$D$13)+'Start here'!$D$17)/(1-'Start here'!$D$23)))</f>
        <v/>
      </c>
      <c r="H19" s="28">
        <f>IF(OR($D19="",$F19=""),"",$F19*(1-'Start here'!$D$23)-('Start here'!$D$12+'Start here'!$D$13)-IF($E19="",'Start here'!$D$14,$E19)-$D19)</f>
        <v/>
      </c>
      <c r="I19" s="29">
        <f>IF(OR($D19="",$F19=""),"",IF($H19&lt;0,"-"&amp;'Start here'!$D$20&amp;TEXT(ABS($H19),"#,##0.00"),IF($F19&lt;$G19,"UNDER","SAFE")))</f>
        <v/>
      </c>
      <c r="J19" s="1" t="n"/>
      <c r="K19" s="1" t="n"/>
      <c r="L19" s="1" t="n"/>
    </row>
    <row r="20" ht="20" customHeight="1">
      <c r="A20" s="1" t="n"/>
      <c r="B20" s="8" t="n"/>
      <c r="C20" s="8" t="n"/>
      <c r="D20" s="27" t="n"/>
      <c r="E20" s="27" t="n"/>
      <c r="F20" s="27" t="n"/>
      <c r="G20" s="28">
        <f>IF($D20="","",IF('Start here'!$D$23&gt;=1,"n/a",($D20+IF($E20="",'Start here'!$D$14,$E20)+('Start here'!$D$12+'Start here'!$D$13)+'Start here'!$D$17)/(1-'Start here'!$D$23)))</f>
        <v/>
      </c>
      <c r="H20" s="28">
        <f>IF(OR($D20="",$F20=""),"",$F20*(1-'Start here'!$D$23)-('Start here'!$D$12+'Start here'!$D$13)-IF($E20="",'Start here'!$D$14,$E20)-$D20)</f>
        <v/>
      </c>
      <c r="I20" s="29">
        <f>IF(OR($D20="",$F20=""),"",IF($H20&lt;0,"-"&amp;'Start here'!$D$20&amp;TEXT(ABS($H20),"#,##0.00"),IF($F20&lt;$G20,"UNDER","SAFE")))</f>
        <v/>
      </c>
      <c r="J20" s="1" t="n"/>
      <c r="K20" s="1" t="n"/>
      <c r="L20" s="1" t="n"/>
    </row>
    <row r="21" ht="20" customHeight="1">
      <c r="A21" s="1" t="n"/>
      <c r="B21" s="8" t="n"/>
      <c r="C21" s="8" t="n"/>
      <c r="D21" s="27" t="n"/>
      <c r="E21" s="27" t="n"/>
      <c r="F21" s="27" t="n"/>
      <c r="G21" s="28">
        <f>IF($D21="","",IF('Start here'!$D$23&gt;=1,"n/a",($D21+IF($E21="",'Start here'!$D$14,$E21)+('Start here'!$D$12+'Start here'!$D$13)+'Start here'!$D$17)/(1-'Start here'!$D$23)))</f>
        <v/>
      </c>
      <c r="H21" s="28">
        <f>IF(OR($D21="",$F21=""),"",$F21*(1-'Start here'!$D$23)-('Start here'!$D$12+'Start here'!$D$13)-IF($E21="",'Start here'!$D$14,$E21)-$D21)</f>
        <v/>
      </c>
      <c r="I21" s="29">
        <f>IF(OR($D21="",$F21=""),"",IF($H21&lt;0,"-"&amp;'Start here'!$D$20&amp;TEXT(ABS($H21),"#,##0.00"),IF($F21&lt;$G21,"UNDER","SAFE")))</f>
        <v/>
      </c>
      <c r="J21" s="1" t="n"/>
      <c r="K21" s="1" t="n"/>
      <c r="L21" s="1" t="n"/>
    </row>
    <row r="22" ht="20" customHeight="1">
      <c r="A22" s="1" t="n"/>
      <c r="B22" s="8" t="n"/>
      <c r="C22" s="8" t="n"/>
      <c r="D22" s="27" t="n"/>
      <c r="E22" s="27" t="n"/>
      <c r="F22" s="27" t="n"/>
      <c r="G22" s="28">
        <f>IF($D22="","",IF('Start here'!$D$23&gt;=1,"n/a",($D22+IF($E22="",'Start here'!$D$14,$E22)+('Start here'!$D$12+'Start here'!$D$13)+'Start here'!$D$17)/(1-'Start here'!$D$23)))</f>
        <v/>
      </c>
      <c r="H22" s="28">
        <f>IF(OR($D22="",$F22=""),"",$F22*(1-'Start here'!$D$23)-('Start here'!$D$12+'Start here'!$D$13)-IF($E22="",'Start here'!$D$14,$E22)-$D22)</f>
        <v/>
      </c>
      <c r="I22" s="29">
        <f>IF(OR($D22="",$F22=""),"",IF($H22&lt;0,"-"&amp;'Start here'!$D$20&amp;TEXT(ABS($H22),"#,##0.00"),IF($F22&lt;$G22,"UNDER","SAFE")))</f>
        <v/>
      </c>
      <c r="J22" s="1" t="n"/>
      <c r="K22" s="1" t="n"/>
      <c r="L22" s="1" t="n"/>
    </row>
    <row r="23" ht="20" customHeight="1">
      <c r="A23" s="1" t="n"/>
      <c r="B23" s="8" t="n"/>
      <c r="C23" s="8" t="n"/>
      <c r="D23" s="27" t="n"/>
      <c r="E23" s="27" t="n"/>
      <c r="F23" s="27" t="n"/>
      <c r="G23" s="28">
        <f>IF($D23="","",IF('Start here'!$D$23&gt;=1,"n/a",($D23+IF($E23="",'Start here'!$D$14,$E23)+('Start here'!$D$12+'Start here'!$D$13)+'Start here'!$D$17)/(1-'Start here'!$D$23)))</f>
        <v/>
      </c>
      <c r="H23" s="28">
        <f>IF(OR($D23="",$F23=""),"",$F23*(1-'Start here'!$D$23)-('Start here'!$D$12+'Start here'!$D$13)-IF($E23="",'Start here'!$D$14,$E23)-$D23)</f>
        <v/>
      </c>
      <c r="I23" s="29">
        <f>IF(OR($D23="",$F23=""),"",IF($H23&lt;0,"-"&amp;'Start here'!$D$20&amp;TEXT(ABS($H23),"#,##0.00"),IF($F23&lt;$G23,"UNDER","SAFE")))</f>
        <v/>
      </c>
      <c r="J23" s="1" t="n"/>
      <c r="K23" s="1" t="n"/>
      <c r="L23" s="1" t="n"/>
    </row>
    <row r="24" ht="20" customHeight="1">
      <c r="A24" s="1" t="n"/>
      <c r="B24" s="8" t="n"/>
      <c r="C24" s="8" t="n"/>
      <c r="D24" s="27" t="n"/>
      <c r="E24" s="27" t="n"/>
      <c r="F24" s="27" t="n"/>
      <c r="G24" s="28">
        <f>IF($D24="","",IF('Start here'!$D$23&gt;=1,"n/a",($D24+IF($E24="",'Start here'!$D$14,$E24)+('Start here'!$D$12+'Start here'!$D$13)+'Start here'!$D$17)/(1-'Start here'!$D$23)))</f>
        <v/>
      </c>
      <c r="H24" s="28">
        <f>IF(OR($D24="",$F24=""),"",$F24*(1-'Start here'!$D$23)-('Start here'!$D$12+'Start here'!$D$13)-IF($E24="",'Start here'!$D$14,$E24)-$D24)</f>
        <v/>
      </c>
      <c r="I24" s="29">
        <f>IF(OR($D24="",$F24=""),"",IF($H24&lt;0,"-"&amp;'Start here'!$D$20&amp;TEXT(ABS($H24),"#,##0.00"),IF($F24&lt;$G24,"UNDER","SAFE")))</f>
        <v/>
      </c>
      <c r="J24" s="1" t="n"/>
      <c r="K24" s="1" t="n"/>
      <c r="L24" s="1" t="n"/>
    </row>
    <row r="25" ht="20" customHeight="1">
      <c r="A25" s="1" t="n"/>
      <c r="B25" s="8" t="n"/>
      <c r="C25" s="8" t="n"/>
      <c r="D25" s="27" t="n"/>
      <c r="E25" s="27" t="n"/>
      <c r="F25" s="27" t="n"/>
      <c r="G25" s="28">
        <f>IF($D25="","",IF('Start here'!$D$23&gt;=1,"n/a",($D25+IF($E25="",'Start here'!$D$14,$E25)+('Start here'!$D$12+'Start here'!$D$13)+'Start here'!$D$17)/(1-'Start here'!$D$23)))</f>
        <v/>
      </c>
      <c r="H25" s="28">
        <f>IF(OR($D25="",$F25=""),"",$F25*(1-'Start here'!$D$23)-('Start here'!$D$12+'Start here'!$D$13)-IF($E25="",'Start here'!$D$14,$E25)-$D25)</f>
        <v/>
      </c>
      <c r="I25" s="29">
        <f>IF(OR($D25="",$F25=""),"",IF($H25&lt;0,"-"&amp;'Start here'!$D$20&amp;TEXT(ABS($H25),"#,##0.00"),IF($F25&lt;$G25,"UNDER","SAFE")))</f>
        <v/>
      </c>
      <c r="J25" s="1" t="n"/>
      <c r="K25" s="1" t="n"/>
      <c r="L25" s="1" t="n"/>
    </row>
    <row r="26" ht="20" customHeight="1">
      <c r="A26" s="1" t="n"/>
      <c r="B26" s="8" t="n"/>
      <c r="C26" s="8" t="n"/>
      <c r="D26" s="27" t="n"/>
      <c r="E26" s="27" t="n"/>
      <c r="F26" s="27" t="n"/>
      <c r="G26" s="28">
        <f>IF($D26="","",IF('Start here'!$D$23&gt;=1,"n/a",($D26+IF($E26="",'Start here'!$D$14,$E26)+('Start here'!$D$12+'Start here'!$D$13)+'Start here'!$D$17)/(1-'Start here'!$D$23)))</f>
        <v/>
      </c>
      <c r="H26" s="28">
        <f>IF(OR($D26="",$F26=""),"",$F26*(1-'Start here'!$D$23)-('Start here'!$D$12+'Start here'!$D$13)-IF($E26="",'Start here'!$D$14,$E26)-$D26)</f>
        <v/>
      </c>
      <c r="I26" s="29">
        <f>IF(OR($D26="",$F26=""),"",IF($H26&lt;0,"-"&amp;'Start here'!$D$20&amp;TEXT(ABS($H26),"#,##0.00"),IF($F26&lt;$G26,"UNDER","SAFE")))</f>
        <v/>
      </c>
      <c r="J26" s="1" t="n"/>
      <c r="K26" s="1" t="n"/>
      <c r="L26" s="1" t="n"/>
    </row>
    <row r="27" ht="20" customHeight="1">
      <c r="A27" s="1" t="n"/>
      <c r="B27" s="8" t="n"/>
      <c r="C27" s="8" t="n"/>
      <c r="D27" s="27" t="n"/>
      <c r="E27" s="27" t="n"/>
      <c r="F27" s="27" t="n"/>
      <c r="G27" s="28">
        <f>IF($D27="","",IF('Start here'!$D$23&gt;=1,"n/a",($D27+IF($E27="",'Start here'!$D$14,$E27)+('Start here'!$D$12+'Start here'!$D$13)+'Start here'!$D$17)/(1-'Start here'!$D$23)))</f>
        <v/>
      </c>
      <c r="H27" s="28">
        <f>IF(OR($D27="",$F27=""),"",$F27*(1-'Start here'!$D$23)-('Start here'!$D$12+'Start here'!$D$13)-IF($E27="",'Start here'!$D$14,$E27)-$D27)</f>
        <v/>
      </c>
      <c r="I27" s="29">
        <f>IF(OR($D27="",$F27=""),"",IF($H27&lt;0,"-"&amp;'Start here'!$D$20&amp;TEXT(ABS($H27),"#,##0.00"),IF($F27&lt;$G27,"UNDER","SAFE")))</f>
        <v/>
      </c>
      <c r="J27" s="1" t="n"/>
      <c r="K27" s="1" t="n"/>
      <c r="L27" s="1" t="n"/>
    </row>
    <row r="28" ht="20" customHeight="1">
      <c r="A28" s="1" t="n"/>
      <c r="B28" s="8" t="n"/>
      <c r="C28" s="8" t="n"/>
      <c r="D28" s="27" t="n"/>
      <c r="E28" s="27" t="n"/>
      <c r="F28" s="27" t="n"/>
      <c r="G28" s="28">
        <f>IF($D28="","",IF('Start here'!$D$23&gt;=1,"n/a",($D28+IF($E28="",'Start here'!$D$14,$E28)+('Start here'!$D$12+'Start here'!$D$13)+'Start here'!$D$17)/(1-'Start here'!$D$23)))</f>
        <v/>
      </c>
      <c r="H28" s="28">
        <f>IF(OR($D28="",$F28=""),"",$F28*(1-'Start here'!$D$23)-('Start here'!$D$12+'Start here'!$D$13)-IF($E28="",'Start here'!$D$14,$E28)-$D28)</f>
        <v/>
      </c>
      <c r="I28" s="29">
        <f>IF(OR($D28="",$F28=""),"",IF($H28&lt;0,"-"&amp;'Start here'!$D$20&amp;TEXT(ABS($H28),"#,##0.00"),IF($F28&lt;$G28,"UNDER","SAFE")))</f>
        <v/>
      </c>
      <c r="J28" s="1" t="n"/>
      <c r="K28" s="1" t="n"/>
      <c r="L28" s="1" t="n"/>
    </row>
    <row r="29" ht="20" customHeight="1">
      <c r="A29" s="1" t="n"/>
      <c r="B29" s="8" t="n"/>
      <c r="C29" s="8" t="n"/>
      <c r="D29" s="27" t="n"/>
      <c r="E29" s="27" t="n"/>
      <c r="F29" s="27" t="n"/>
      <c r="G29" s="28">
        <f>IF($D29="","",IF('Start here'!$D$23&gt;=1,"n/a",($D29+IF($E29="",'Start here'!$D$14,$E29)+('Start here'!$D$12+'Start here'!$D$13)+'Start here'!$D$17)/(1-'Start here'!$D$23)))</f>
        <v/>
      </c>
      <c r="H29" s="28">
        <f>IF(OR($D29="",$F29=""),"",$F29*(1-'Start here'!$D$23)-('Start here'!$D$12+'Start here'!$D$13)-IF($E29="",'Start here'!$D$14,$E29)-$D29)</f>
        <v/>
      </c>
      <c r="I29" s="29">
        <f>IF(OR($D29="",$F29=""),"",IF($H29&lt;0,"-"&amp;'Start here'!$D$20&amp;TEXT(ABS($H29),"#,##0.00"),IF($F29&lt;$G29,"UNDER","SAFE")))</f>
        <v/>
      </c>
      <c r="J29" s="1" t="n"/>
      <c r="K29" s="1" t="n"/>
      <c r="L29" s="1" t="n"/>
    </row>
    <row r="30" ht="20" customHeight="1">
      <c r="A30" s="1" t="n"/>
      <c r="B30" s="8" t="n"/>
      <c r="C30" s="8" t="n"/>
      <c r="D30" s="27" t="n"/>
      <c r="E30" s="27" t="n"/>
      <c r="F30" s="27" t="n"/>
      <c r="G30" s="28">
        <f>IF($D30="","",IF('Start here'!$D$23&gt;=1,"n/a",($D30+IF($E30="",'Start here'!$D$14,$E30)+('Start here'!$D$12+'Start here'!$D$13)+'Start here'!$D$17)/(1-'Start here'!$D$23)))</f>
        <v/>
      </c>
      <c r="H30" s="28">
        <f>IF(OR($D30="",$F30=""),"",$F30*(1-'Start here'!$D$23)-('Start here'!$D$12+'Start here'!$D$13)-IF($E30="",'Start here'!$D$14,$E30)-$D30)</f>
        <v/>
      </c>
      <c r="I30" s="29">
        <f>IF(OR($D30="",$F30=""),"",IF($H30&lt;0,"-"&amp;'Start here'!$D$20&amp;TEXT(ABS($H30),"#,##0.00"),IF($F30&lt;$G30,"UNDER","SAFE")))</f>
        <v/>
      </c>
      <c r="J30" s="1" t="n"/>
      <c r="K30" s="1" t="n"/>
      <c r="L30" s="1" t="n"/>
    </row>
    <row r="31" ht="20" customHeight="1">
      <c r="A31" s="1" t="n"/>
      <c r="B31" s="8" t="n"/>
      <c r="C31" s="8" t="n"/>
      <c r="D31" s="27" t="n"/>
      <c r="E31" s="27" t="n"/>
      <c r="F31" s="27" t="n"/>
      <c r="G31" s="28">
        <f>IF($D31="","",IF('Start here'!$D$23&gt;=1,"n/a",($D31+IF($E31="",'Start here'!$D$14,$E31)+('Start here'!$D$12+'Start here'!$D$13)+'Start here'!$D$17)/(1-'Start here'!$D$23)))</f>
        <v/>
      </c>
      <c r="H31" s="28">
        <f>IF(OR($D31="",$F31=""),"",$F31*(1-'Start here'!$D$23)-('Start here'!$D$12+'Start here'!$D$13)-IF($E31="",'Start here'!$D$14,$E31)-$D31)</f>
        <v/>
      </c>
      <c r="I31" s="29">
        <f>IF(OR($D31="",$F31=""),"",IF($H31&lt;0,"-"&amp;'Start here'!$D$20&amp;TEXT(ABS($H31),"#,##0.00"),IF($F31&lt;$G31,"UNDER","SAFE")))</f>
        <v/>
      </c>
      <c r="J31" s="1" t="n"/>
      <c r="K31" s="1" t="n"/>
      <c r="L31" s="1" t="n"/>
    </row>
    <row r="32" ht="20" customHeight="1">
      <c r="A32" s="1" t="n"/>
      <c r="B32" s="8" t="n"/>
      <c r="C32" s="8" t="n"/>
      <c r="D32" s="27" t="n"/>
      <c r="E32" s="27" t="n"/>
      <c r="F32" s="27" t="n"/>
      <c r="G32" s="28">
        <f>IF($D32="","",IF('Start here'!$D$23&gt;=1,"n/a",($D32+IF($E32="",'Start here'!$D$14,$E32)+('Start here'!$D$12+'Start here'!$D$13)+'Start here'!$D$17)/(1-'Start here'!$D$23)))</f>
        <v/>
      </c>
      <c r="H32" s="28">
        <f>IF(OR($D32="",$F32=""),"",$F32*(1-'Start here'!$D$23)-('Start here'!$D$12+'Start here'!$D$13)-IF($E32="",'Start here'!$D$14,$E32)-$D32)</f>
        <v/>
      </c>
      <c r="I32" s="29">
        <f>IF(OR($D32="",$F32=""),"",IF($H32&lt;0,"-"&amp;'Start here'!$D$20&amp;TEXT(ABS($H32),"#,##0.00"),IF($F32&lt;$G32,"UNDER","SAFE")))</f>
        <v/>
      </c>
      <c r="J32" s="1" t="n"/>
      <c r="K32" s="1" t="n"/>
      <c r="L32" s="1" t="n"/>
    </row>
    <row r="33" ht="20" customHeight="1">
      <c r="A33" s="1" t="n"/>
      <c r="B33" s="8" t="n"/>
      <c r="C33" s="8" t="n"/>
      <c r="D33" s="27" t="n"/>
      <c r="E33" s="27" t="n"/>
      <c r="F33" s="27" t="n"/>
      <c r="G33" s="28">
        <f>IF($D33="","",IF('Start here'!$D$23&gt;=1,"n/a",($D33+IF($E33="",'Start here'!$D$14,$E33)+('Start here'!$D$12+'Start here'!$D$13)+'Start here'!$D$17)/(1-'Start here'!$D$23)))</f>
        <v/>
      </c>
      <c r="H33" s="28">
        <f>IF(OR($D33="",$F33=""),"",$F33*(1-'Start here'!$D$23)-('Start here'!$D$12+'Start here'!$D$13)-IF($E33="",'Start here'!$D$14,$E33)-$D33)</f>
        <v/>
      </c>
      <c r="I33" s="29">
        <f>IF(OR($D33="",$F33=""),"",IF($H33&lt;0,"-"&amp;'Start here'!$D$20&amp;TEXT(ABS($H33),"#,##0.00"),IF($F33&lt;$G33,"UNDER","SAFE")))</f>
        <v/>
      </c>
      <c r="J33" s="1" t="n"/>
      <c r="K33" s="1" t="n"/>
      <c r="L33" s="1" t="n"/>
    </row>
    <row r="34" ht="20" customHeight="1">
      <c r="A34" s="1" t="n"/>
      <c r="B34" s="8" t="n"/>
      <c r="C34" s="8" t="n"/>
      <c r="D34" s="27" t="n"/>
      <c r="E34" s="27" t="n"/>
      <c r="F34" s="27" t="n"/>
      <c r="G34" s="28">
        <f>IF($D34="","",IF('Start here'!$D$23&gt;=1,"n/a",($D34+IF($E34="",'Start here'!$D$14,$E34)+('Start here'!$D$12+'Start here'!$D$13)+'Start here'!$D$17)/(1-'Start here'!$D$23)))</f>
        <v/>
      </c>
      <c r="H34" s="28">
        <f>IF(OR($D34="",$F34=""),"",$F34*(1-'Start here'!$D$23)-('Start here'!$D$12+'Start here'!$D$13)-IF($E34="",'Start here'!$D$14,$E34)-$D34)</f>
        <v/>
      </c>
      <c r="I34" s="29">
        <f>IF(OR($D34="",$F34=""),"",IF($H34&lt;0,"-"&amp;'Start here'!$D$20&amp;TEXT(ABS($H34),"#,##0.00"),IF($F34&lt;$G34,"UNDER","SAFE")))</f>
        <v/>
      </c>
      <c r="J34" s="1" t="n"/>
      <c r="K34" s="1" t="n"/>
      <c r="L34" s="1" t="n"/>
    </row>
    <row r="35" ht="20" customHeight="1">
      <c r="A35" s="1" t="n"/>
      <c r="B35" s="8" t="n"/>
      <c r="C35" s="8" t="n"/>
      <c r="D35" s="27" t="n"/>
      <c r="E35" s="27" t="n"/>
      <c r="F35" s="27" t="n"/>
      <c r="G35" s="28">
        <f>IF($D35="","",IF('Start here'!$D$23&gt;=1,"n/a",($D35+IF($E35="",'Start here'!$D$14,$E35)+('Start here'!$D$12+'Start here'!$D$13)+'Start here'!$D$17)/(1-'Start here'!$D$23)))</f>
        <v/>
      </c>
      <c r="H35" s="28">
        <f>IF(OR($D35="",$F35=""),"",$F35*(1-'Start here'!$D$23)-('Start here'!$D$12+'Start here'!$D$13)-IF($E35="",'Start here'!$D$14,$E35)-$D35)</f>
        <v/>
      </c>
      <c r="I35" s="29">
        <f>IF(OR($D35="",$F35=""),"",IF($H35&lt;0,"-"&amp;'Start here'!$D$20&amp;TEXT(ABS($H35),"#,##0.00"),IF($F35&lt;$G35,"UNDER","SAFE")))</f>
        <v/>
      </c>
      <c r="J35" s="1" t="n"/>
      <c r="K35" s="1" t="n"/>
      <c r="L35" s="1" t="n"/>
    </row>
    <row r="36" ht="20" customHeight="1">
      <c r="A36" s="1" t="n"/>
      <c r="B36" s="8" t="n"/>
      <c r="C36" s="8" t="n"/>
      <c r="D36" s="27" t="n"/>
      <c r="E36" s="27" t="n"/>
      <c r="F36" s="27" t="n"/>
      <c r="G36" s="28">
        <f>IF($D36="","",IF('Start here'!$D$23&gt;=1,"n/a",($D36+IF($E36="",'Start here'!$D$14,$E36)+('Start here'!$D$12+'Start here'!$D$13)+'Start here'!$D$17)/(1-'Start here'!$D$23)))</f>
        <v/>
      </c>
      <c r="H36" s="28">
        <f>IF(OR($D36="",$F36=""),"",$F36*(1-'Start here'!$D$23)-('Start here'!$D$12+'Start here'!$D$13)-IF($E36="",'Start here'!$D$14,$E36)-$D36)</f>
        <v/>
      </c>
      <c r="I36" s="29">
        <f>IF(OR($D36="",$F36=""),"",IF($H36&lt;0,"-"&amp;'Start here'!$D$20&amp;TEXT(ABS($H36),"#,##0.00"),IF($F36&lt;$G36,"UNDER","SAFE")))</f>
        <v/>
      </c>
      <c r="J36" s="1" t="n"/>
      <c r="K36" s="1" t="n"/>
      <c r="L36" s="1" t="n"/>
    </row>
    <row r="37" ht="8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</row>
    <row r="38" ht="20" customHeight="1">
      <c r="A38" s="1" t="n"/>
      <c r="B38" s="6" t="inlineStr">
        <is>
          <t>Add rows below row 36 and drag G, H and I down — those three are formulas, everything else you type.</t>
        </is>
      </c>
      <c r="C38" s="7" t="n"/>
      <c r="D38" s="7" t="n"/>
      <c r="E38" s="7" t="n"/>
      <c r="F38" s="7" t="n"/>
      <c r="G38" s="7" t="n"/>
      <c r="H38" s="7" t="n"/>
      <c r="I38" s="7" t="n"/>
      <c r="J38" s="1" t="n"/>
      <c r="K38" s="1" t="n"/>
      <c r="L38" s="1" t="n"/>
    </row>
    <row r="39" ht="22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</row>
    <row r="40" ht="22" customHeigh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</row>
    <row r="41" ht="22" customHeight="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</row>
    <row r="42" ht="22" customHeight="1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</row>
    <row r="43" ht="22" customHeight="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</row>
    <row r="44" ht="22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</row>
  </sheetData>
  <mergeCells count="3">
    <mergeCell ref="B3:I3"/>
    <mergeCell ref="B38:I38"/>
    <mergeCell ref="B4:I4"/>
  </mergeCells>
  <conditionalFormatting sqref="I7:I36">
    <cfRule type="expression" priority="1" dxfId="1">
      <formula>AND($I7&lt;&gt;"",$I7&lt;&gt;"SAFE")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D9D9D9"/>
    <outlinePr summaryBelow="1" summaryRight="1"/>
    <pageSetUpPr/>
  </sheetPr>
  <dimension ref="A1:H20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.5" customWidth="1" min="3" max="3"/>
    <col width="20" customWidth="1" min="4" max="4"/>
    <col width="2.5" customWidth="1" min="5" max="5"/>
    <col width="42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14" customHeight="1">
      <c r="A2" s="1" t="n"/>
      <c r="B2" s="2" t="inlineStr">
        <is>
          <t>PRICE FLOOR SHEET</t>
        </is>
      </c>
      <c r="C2" s="1" t="n"/>
      <c r="D2" s="1" t="n"/>
      <c r="E2" s="1" t="n"/>
      <c r="F2" s="3" t="inlineStr">
        <is>
          <t>findhotstuff.com</t>
        </is>
      </c>
      <c r="G2" s="1" t="n"/>
      <c r="H2" s="1" t="n"/>
    </row>
    <row r="3" ht="28" customHeight="1">
      <c r="A3" s="1" t="n"/>
      <c r="B3" s="4" t="inlineStr">
        <is>
          <t>What ads have to return before they pay for themselves</t>
        </is>
      </c>
      <c r="C3" s="5" t="n"/>
      <c r="D3" s="5" t="n"/>
      <c r="E3" s="5" t="n"/>
      <c r="F3" s="5" t="n"/>
      <c r="G3" s="1" t="n"/>
      <c r="H3" s="1" t="n"/>
    </row>
    <row r="4" ht="16" customHeight="1">
      <c r="A4" s="1" t="n"/>
      <c r="B4" s="6" t="inlineStr">
        <is>
          <t>Nothing to type here. Every grey cell is worked out from the Price floor tab.</t>
        </is>
      </c>
      <c r="C4" s="7" t="n"/>
      <c r="D4" s="7" t="n"/>
      <c r="E4" s="7" t="n"/>
      <c r="F4" s="7" t="n"/>
      <c r="G4" s="1" t="n"/>
      <c r="H4" s="1" t="n"/>
    </row>
    <row r="5" ht="8" customHeight="1">
      <c r="A5" s="1" t="n"/>
      <c r="B5" s="1" t="n"/>
      <c r="C5" s="1" t="n"/>
      <c r="D5" s="1" t="n"/>
      <c r="E5" s="1" t="n"/>
      <c r="F5" s="1" t="n"/>
      <c r="G5" s="1" t="n"/>
      <c r="H5" s="1" t="n"/>
    </row>
    <row r="6" ht="14" customHeight="1">
      <c r="A6" s="1" t="n"/>
      <c r="B6" s="2" t="inlineStr">
        <is>
          <t>01  FROM THE PRICE FLOOR TAB</t>
        </is>
      </c>
      <c r="C6" s="1" t="n"/>
      <c r="D6" s="1" t="n"/>
      <c r="E6" s="1" t="n"/>
      <c r="F6" s="1" t="n"/>
      <c r="G6" s="1" t="n"/>
      <c r="H6" s="1" t="n"/>
    </row>
    <row r="7" ht="22" customHeight="1">
      <c r="A7" s="1" t="n"/>
      <c r="B7" s="8" t="inlineStr">
        <is>
          <t>Your price</t>
        </is>
      </c>
      <c r="C7" s="9" t="n"/>
      <c r="D7" s="28">
        <f>IF('Price floor'!$D$8="","",'Price floor'!$D$8)</f>
        <v/>
      </c>
      <c r="E7" s="9" t="n"/>
      <c r="F7" s="9" t="n"/>
      <c r="G7" s="1" t="n"/>
      <c r="H7" s="1" t="n"/>
    </row>
    <row r="8" ht="22" customHeight="1">
      <c r="A8" s="1" t="n"/>
      <c r="B8" s="8" t="inlineStr">
        <is>
          <t>Profit per sale</t>
        </is>
      </c>
      <c r="C8" s="9" t="n"/>
      <c r="D8" s="28">
        <f>'Price floor'!$B$13</f>
        <v/>
      </c>
      <c r="E8" s="9" t="n"/>
      <c r="F8" s="9" t="n"/>
      <c r="G8" s="1" t="n"/>
      <c r="H8" s="1" t="n"/>
    </row>
    <row r="9" ht="8" customHeight="1">
      <c r="A9" s="1" t="n"/>
      <c r="B9" s="1" t="n"/>
      <c r="C9" s="1" t="n"/>
      <c r="D9" s="1" t="n"/>
      <c r="E9" s="1" t="n"/>
      <c r="F9" s="1" t="n"/>
      <c r="G9" s="1" t="n"/>
      <c r="H9" s="1" t="n"/>
    </row>
    <row r="10" ht="14" customHeight="1">
      <c r="A10" s="1" t="n"/>
      <c r="B10" s="2" t="inlineStr">
        <is>
          <t>02  BREAK-EVEN ROAS</t>
        </is>
      </c>
      <c r="C10" s="1" t="n"/>
      <c r="D10" s="1" t="n"/>
      <c r="E10" s="1" t="n"/>
      <c r="F10" s="1" t="n"/>
      <c r="G10" s="1" t="n"/>
      <c r="H10" s="1" t="n"/>
    </row>
    <row r="11" ht="36" customHeight="1">
      <c r="A11" s="1" t="n"/>
      <c r="B11" s="30">
        <f>IF($D$8="","—",IF($D$8&lt;=0,"n/a",$D$7/$D$8))</f>
        <v/>
      </c>
      <c r="C11" s="30" t="n"/>
      <c r="D11" s="30" t="n"/>
      <c r="E11" s="1" t="n"/>
      <c r="F11" s="19" t="inlineStr">
        <is>
          <t>Every 1.00 of ad spend has to come back this many times just to break even.</t>
        </is>
      </c>
      <c r="G11" s="1" t="n"/>
      <c r="H11" s="1" t="n"/>
    </row>
    <row r="12" ht="22" customHeight="1">
      <c r="A12" s="1" t="n"/>
      <c r="B12" s="31">
        <f>IF($D$8="","Enter your price on the Price floor tab first.",IF($D$8&lt;=0,"Each sale makes nothing before ads, so no ad spend can pay for itself. Fix the price first.","Below this number you are donating."))</f>
        <v/>
      </c>
      <c r="C12" s="32" t="n"/>
      <c r="D12" s="32" t="n"/>
      <c r="E12" s="32" t="n"/>
      <c r="F12" s="32" t="n"/>
      <c r="G12" s="1" t="n"/>
      <c r="H12" s="1" t="n"/>
    </row>
    <row r="13" ht="8" customHeight="1">
      <c r="A13" s="1" t="n"/>
      <c r="B13" s="1" t="n"/>
      <c r="C13" s="1" t="n"/>
      <c r="D13" s="1" t="n"/>
      <c r="E13" s="1" t="n"/>
      <c r="F13" s="1" t="n"/>
      <c r="G13" s="1" t="n"/>
      <c r="H13" s="1" t="n"/>
    </row>
    <row r="14" ht="20" customHeight="1">
      <c r="A14" s="1" t="n"/>
      <c r="B14" s="6" t="inlineStr">
        <is>
          <t>A calculator, not accounting or tax advice.</t>
        </is>
      </c>
      <c r="C14" s="7" t="n"/>
      <c r="D14" s="7" t="n"/>
      <c r="E14" s="7" t="n"/>
      <c r="F14" s="7" t="n"/>
      <c r="G14" s="1" t="n"/>
      <c r="H14" s="1" t="n"/>
    </row>
    <row r="15" ht="22" customHeight="1">
      <c r="A15" s="1" t="n"/>
      <c r="B15" s="1" t="n"/>
      <c r="C15" s="1" t="n"/>
      <c r="D15" s="1" t="n"/>
      <c r="E15" s="1" t="n"/>
      <c r="F15" s="1" t="n"/>
      <c r="G15" s="1" t="n"/>
      <c r="H15" s="1" t="n"/>
    </row>
    <row r="16" ht="22" customHeight="1">
      <c r="A16" s="1" t="n"/>
      <c r="B16" s="1" t="n"/>
      <c r="C16" s="1" t="n"/>
      <c r="D16" s="1" t="n"/>
      <c r="E16" s="1" t="n"/>
      <c r="F16" s="1" t="n"/>
      <c r="G16" s="1" t="n"/>
      <c r="H16" s="1" t="n"/>
    </row>
    <row r="17" ht="22" customHeight="1">
      <c r="A17" s="1" t="n"/>
      <c r="B17" s="1" t="n"/>
      <c r="C17" s="1" t="n"/>
      <c r="D17" s="1" t="n"/>
      <c r="E17" s="1" t="n"/>
      <c r="F17" s="1" t="n"/>
      <c r="G17" s="1" t="n"/>
      <c r="H17" s="1" t="n"/>
    </row>
    <row r="18" ht="22" customHeight="1">
      <c r="A18" s="1" t="n"/>
      <c r="B18" s="1" t="n"/>
      <c r="C18" s="1" t="n"/>
      <c r="D18" s="1" t="n"/>
      <c r="E18" s="1" t="n"/>
      <c r="F18" s="1" t="n"/>
      <c r="G18" s="1" t="n"/>
      <c r="H18" s="1" t="n"/>
    </row>
    <row r="19" ht="22" customHeight="1">
      <c r="A19" s="1" t="n"/>
      <c r="B19" s="1" t="n"/>
      <c r="C19" s="1" t="n"/>
      <c r="D19" s="1" t="n"/>
      <c r="E19" s="1" t="n"/>
      <c r="F19" s="1" t="n"/>
      <c r="G19" s="1" t="n"/>
      <c r="H19" s="1" t="n"/>
    </row>
    <row r="20" ht="22" customHeight="1">
      <c r="A20" s="1" t="n"/>
      <c r="B20" s="1" t="n"/>
      <c r="C20" s="1" t="n"/>
      <c r="D20" s="1" t="n"/>
      <c r="E20" s="1" t="n"/>
      <c r="F20" s="1" t="n"/>
      <c r="G20" s="1" t="n"/>
      <c r="H20" s="1" t="n"/>
    </row>
  </sheetData>
  <mergeCells count="5">
    <mergeCell ref="B4:F4"/>
    <mergeCell ref="B11:D11"/>
    <mergeCell ref="B12:F12"/>
    <mergeCell ref="B3:F3"/>
    <mergeCell ref="B14:F1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D9D9D9"/>
    <outlinePr summaryBelow="1" summaryRight="1"/>
    <pageSetUpPr/>
  </sheetPr>
  <dimension ref="A1:H28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.5" customWidth="1" min="3" max="3"/>
    <col width="20" customWidth="1" min="4" max="4"/>
    <col width="2.5" customWidth="1" min="5" max="5"/>
    <col width="42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14" customHeight="1">
      <c r="A2" s="1" t="n"/>
      <c r="B2" s="2" t="inlineStr">
        <is>
          <t>PRICE FLOOR SHEET</t>
        </is>
      </c>
      <c r="C2" s="1" t="n"/>
      <c r="D2" s="1" t="n"/>
      <c r="E2" s="1" t="n"/>
      <c r="F2" s="3" t="inlineStr">
        <is>
          <t>findhotstuff.com</t>
        </is>
      </c>
      <c r="G2" s="1" t="n"/>
      <c r="H2" s="1" t="n"/>
    </row>
    <row r="3" ht="28" customHeight="1">
      <c r="A3" s="1" t="n"/>
      <c r="B3" s="4" t="inlineStr">
        <is>
          <t>Did I make money this month?</t>
        </is>
      </c>
      <c r="C3" s="5" t="n"/>
      <c r="D3" s="5" t="n"/>
      <c r="E3" s="5" t="n"/>
      <c r="F3" s="5" t="n"/>
      <c r="G3" s="1" t="n"/>
      <c r="H3" s="1" t="n"/>
    </row>
    <row r="4" ht="16" customHeight="1">
      <c r="A4" s="1" t="n"/>
      <c r="B4" s="6" t="inlineStr">
        <is>
          <t>White cells are yours to type in. Grey cells are worked out. Nothing is locked.</t>
        </is>
      </c>
      <c r="C4" s="7" t="n"/>
      <c r="D4" s="7" t="n"/>
      <c r="E4" s="7" t="n"/>
      <c r="F4" s="7" t="n"/>
      <c r="G4" s="1" t="n"/>
      <c r="H4" s="1" t="n"/>
    </row>
    <row r="5" ht="8" customHeight="1">
      <c r="A5" s="1" t="n"/>
      <c r="B5" s="1" t="n"/>
      <c r="C5" s="1" t="n"/>
      <c r="D5" s="1" t="n"/>
      <c r="E5" s="1" t="n"/>
      <c r="F5" s="1" t="n"/>
      <c r="G5" s="1" t="n"/>
      <c r="H5" s="1" t="n"/>
    </row>
    <row r="6" ht="14" customHeight="1">
      <c r="A6" s="1" t="n"/>
      <c r="B6" s="2" t="inlineStr">
        <is>
          <t>01  WHAT CAME IN AND WHAT WENT OUT</t>
        </is>
      </c>
      <c r="C6" s="1" t="n"/>
      <c r="D6" s="1" t="n"/>
      <c r="E6" s="1" t="n"/>
      <c r="F6" s="1" t="n"/>
      <c r="G6" s="1" t="n"/>
      <c r="H6" s="1" t="n"/>
    </row>
    <row r="7" ht="22" customHeight="1">
      <c r="A7" s="1" t="n"/>
      <c r="B7" s="8" t="inlineStr">
        <is>
          <t>Revenue</t>
        </is>
      </c>
      <c r="C7" s="9" t="n"/>
      <c r="D7" s="12" t="n"/>
      <c r="E7" s="9" t="n"/>
      <c r="F7" s="9" t="n"/>
      <c r="G7" s="1" t="n"/>
      <c r="H7" s="1" t="n"/>
    </row>
    <row r="8" ht="22" customHeight="1">
      <c r="A8" s="1" t="n"/>
      <c r="B8" s="8" t="inlineStr">
        <is>
          <t>Platform + processing fees</t>
        </is>
      </c>
      <c r="C8" s="9" t="n"/>
      <c r="D8" s="12" t="n"/>
      <c r="E8" s="9" t="n"/>
      <c r="F8" s="9" t="n"/>
      <c r="G8" s="1" t="n"/>
      <c r="H8" s="1" t="n"/>
    </row>
    <row r="9" ht="22" customHeight="1">
      <c r="A9" s="1" t="n"/>
      <c r="B9" s="8" t="inlineStr">
        <is>
          <t>Cost of goods</t>
        </is>
      </c>
      <c r="C9" s="9" t="n"/>
      <c r="D9" s="12" t="n"/>
      <c r="E9" s="9" t="n"/>
      <c r="F9" s="9" t="n"/>
      <c r="G9" s="1" t="n"/>
      <c r="H9" s="1" t="n"/>
    </row>
    <row r="10" ht="22" customHeight="1">
      <c r="A10" s="1" t="n"/>
      <c r="B10" s="8" t="inlineStr">
        <is>
          <t>Shipping you paid</t>
        </is>
      </c>
      <c r="C10" s="9" t="n"/>
      <c r="D10" s="12" t="n"/>
      <c r="E10" s="9" t="n"/>
      <c r="F10" s="9" t="n"/>
      <c r="G10" s="1" t="n"/>
      <c r="H10" s="1" t="n"/>
    </row>
    <row r="11" ht="22" customHeight="1">
      <c r="A11" s="1" t="n"/>
      <c r="B11" s="8" t="inlineStr">
        <is>
          <t>Refunds and chargebacks</t>
        </is>
      </c>
      <c r="C11" s="9" t="n"/>
      <c r="D11" s="12" t="n"/>
      <c r="E11" s="9" t="n"/>
      <c r="F11" s="11" t="inlineStr">
        <is>
          <t>Processors usually keep the fixed fee on a refunded order. Count it.</t>
        </is>
      </c>
      <c r="G11" s="1" t="n"/>
      <c r="H11" s="1" t="n"/>
    </row>
    <row r="12" ht="22" customHeight="1">
      <c r="A12" s="1" t="n"/>
      <c r="B12" s="8" t="inlineStr">
        <is>
          <t>Ad spend</t>
        </is>
      </c>
      <c r="C12" s="9" t="n"/>
      <c r="D12" s="12" t="n"/>
      <c r="E12" s="9" t="n"/>
      <c r="F12" s="9" t="n"/>
      <c r="G12" s="1" t="n"/>
      <c r="H12" s="1" t="n"/>
    </row>
    <row r="13" ht="8" customHeight="1">
      <c r="A13" s="1" t="n"/>
      <c r="B13" s="1" t="n"/>
      <c r="C13" s="1" t="n"/>
      <c r="D13" s="1" t="n"/>
      <c r="E13" s="1" t="n"/>
      <c r="F13" s="1" t="n"/>
      <c r="G13" s="1" t="n"/>
      <c r="H13" s="1" t="n"/>
    </row>
    <row r="14" ht="14" customHeight="1">
      <c r="A14" s="1" t="n"/>
      <c r="B14" s="2">
        <f>"02  ACTUALLY MADE ("&amp;'Start here'!$D$20&amp;")"</f>
        <v/>
      </c>
      <c r="C14" s="1" t="n"/>
      <c r="D14" s="1" t="n"/>
      <c r="E14" s="1" t="n"/>
      <c r="F14" s="1" t="n"/>
      <c r="G14" s="1" t="n"/>
      <c r="H14" s="1" t="n"/>
    </row>
    <row r="15" ht="36" customHeight="1">
      <c r="A15" s="1" t="n"/>
      <c r="B15" s="33">
        <f>IF(COUNT($D$7:$D$12)=0,"—",$D$7-$D$8-$D$9-$D$10-$D$11-$D$12)</f>
        <v/>
      </c>
      <c r="C15" s="33" t="n"/>
      <c r="D15" s="33" t="n"/>
      <c r="E15" s="1" t="n"/>
      <c r="F15" s="1" t="n"/>
      <c r="G15" s="1" t="n"/>
      <c r="H15" s="1" t="n"/>
    </row>
    <row r="16" ht="20" customHeight="1">
      <c r="A16" s="1" t="n"/>
      <c r="B16" s="34">
        <f>IF(COUNT($D$7:$D$12)=0,"FILL IN YOUR MONTH ABOVE",IF($B$15&gt;0,"MADE MONEY",IF($B$15&lt;0,"LOST MONEY","BROKE EVEN")))</f>
        <v/>
      </c>
      <c r="C16" s="35" t="n"/>
      <c r="D16" s="35" t="n"/>
      <c r="E16" s="1" t="n"/>
      <c r="F16" s="1" t="n"/>
      <c r="G16" s="1" t="n"/>
      <c r="H16" s="1" t="n"/>
    </row>
    <row r="17" ht="8" customHeight="1">
      <c r="A17" s="1" t="n"/>
      <c r="B17" s="1" t="n"/>
      <c r="C17" s="1" t="n"/>
      <c r="D17" s="1" t="n"/>
      <c r="E17" s="1" t="n"/>
      <c r="F17" s="1" t="n"/>
      <c r="G17" s="1" t="n"/>
      <c r="H17" s="1" t="n"/>
    </row>
    <row r="18" ht="14" customHeight="1">
      <c r="A18" s="1" t="n"/>
      <c r="B18" s="2" t="inlineStr">
        <is>
          <t>03  TAX BUCKET</t>
        </is>
      </c>
      <c r="C18" s="1" t="n"/>
      <c r="D18" s="1" t="n"/>
      <c r="E18" s="1" t="n"/>
      <c r="F18" s="1" t="n"/>
      <c r="G18" s="1" t="n"/>
      <c r="H18" s="1" t="n"/>
    </row>
    <row r="19" ht="22" customHeight="1">
      <c r="A19" s="1" t="n"/>
      <c r="B19" s="8" t="inlineStr">
        <is>
          <t>Set aside for tax</t>
        </is>
      </c>
      <c r="C19" s="9" t="n"/>
      <c r="D19" s="36" t="n">
        <v>0.25</v>
      </c>
      <c r="E19" s="9" t="n"/>
      <c r="F19" s="11" t="inlineStr">
        <is>
          <t>A bucket, not tax advice. Your rate is yours.</t>
        </is>
      </c>
      <c r="G19" s="1" t="n"/>
      <c r="H19" s="1" t="n"/>
    </row>
    <row r="20" ht="22" customHeight="1">
      <c r="A20" s="1" t="n"/>
      <c r="B20" s="8" t="inlineStr">
        <is>
          <t>Put this much away</t>
        </is>
      </c>
      <c r="C20" s="9" t="n"/>
      <c r="D20" s="37">
        <f>IF(ISNUMBER($B$15),MAX(0,$B$15)*$D$19,"")</f>
        <v/>
      </c>
      <c r="E20" s="9" t="n"/>
      <c r="F20" s="9" t="n"/>
      <c r="G20" s="1" t="n"/>
      <c r="H20" s="1" t="n"/>
    </row>
    <row r="21" ht="8" customHeight="1">
      <c r="A21" s="1" t="n"/>
      <c r="B21" s="1" t="n"/>
      <c r="C21" s="1" t="n"/>
      <c r="D21" s="1" t="n"/>
      <c r="E21" s="1" t="n"/>
      <c r="F21" s="1" t="n"/>
      <c r="G21" s="1" t="n"/>
      <c r="H21" s="1" t="n"/>
    </row>
    <row r="22" ht="20" customHeight="1">
      <c r="A22" s="1" t="n"/>
      <c r="B22" s="6" t="inlineStr">
        <is>
          <t>A calculator, not accounting or tax advice.</t>
        </is>
      </c>
      <c r="C22" s="7" t="n"/>
      <c r="D22" s="7" t="n"/>
      <c r="E22" s="7" t="n"/>
      <c r="F22" s="7" t="n"/>
      <c r="G22" s="1" t="n"/>
      <c r="H22" s="1" t="n"/>
    </row>
    <row r="23" ht="22" customHeight="1">
      <c r="A23" s="1" t="n"/>
      <c r="B23" s="1" t="n"/>
      <c r="C23" s="1" t="n"/>
      <c r="D23" s="1" t="n"/>
      <c r="E23" s="1" t="n"/>
      <c r="F23" s="1" t="n"/>
      <c r="G23" s="1" t="n"/>
      <c r="H23" s="1" t="n"/>
    </row>
    <row r="24" ht="22" customHeight="1">
      <c r="A24" s="1" t="n"/>
      <c r="B24" s="1" t="n"/>
      <c r="C24" s="1" t="n"/>
      <c r="D24" s="1" t="n"/>
      <c r="E24" s="1" t="n"/>
      <c r="F24" s="1" t="n"/>
      <c r="G24" s="1" t="n"/>
      <c r="H24" s="1" t="n"/>
    </row>
    <row r="25" ht="22" customHeight="1">
      <c r="A25" s="1" t="n"/>
      <c r="B25" s="1" t="n"/>
      <c r="C25" s="1" t="n"/>
      <c r="D25" s="1" t="n"/>
      <c r="E25" s="1" t="n"/>
      <c r="F25" s="1" t="n"/>
      <c r="G25" s="1" t="n"/>
      <c r="H25" s="1" t="n"/>
    </row>
    <row r="26" ht="22" customHeight="1">
      <c r="A26" s="1" t="n"/>
      <c r="B26" s="1" t="n"/>
      <c r="C26" s="1" t="n"/>
      <c r="D26" s="1" t="n"/>
      <c r="E26" s="1" t="n"/>
      <c r="F26" s="1" t="n"/>
      <c r="G26" s="1" t="n"/>
      <c r="H26" s="1" t="n"/>
    </row>
    <row r="27" ht="22" customHeight="1">
      <c r="A27" s="1" t="n"/>
      <c r="B27" s="1" t="n"/>
      <c r="C27" s="1" t="n"/>
      <c r="D27" s="1" t="n"/>
      <c r="E27" s="1" t="n"/>
      <c r="F27" s="1" t="n"/>
      <c r="G27" s="1" t="n"/>
      <c r="H27" s="1" t="n"/>
    </row>
    <row r="28" ht="22" customHeight="1">
      <c r="A28" s="1" t="n"/>
      <c r="B28" s="1" t="n"/>
      <c r="C28" s="1" t="n"/>
      <c r="D28" s="1" t="n"/>
      <c r="E28" s="1" t="n"/>
      <c r="F28" s="1" t="n"/>
      <c r="G28" s="1" t="n"/>
      <c r="H28" s="1" t="n"/>
    </row>
  </sheetData>
  <mergeCells count="5">
    <mergeCell ref="B4:F4"/>
    <mergeCell ref="B3:F3"/>
    <mergeCell ref="B22:F22"/>
    <mergeCell ref="B15:D15"/>
    <mergeCell ref="B16:D16"/>
  </mergeCells>
  <conditionalFormatting sqref="B15:D15">
    <cfRule type="expression" priority="1" dxfId="1">
      <formula>AND(ISNUMBER($B$15),$B$15&lt;0)</formula>
    </cfRule>
  </conditionalFormatting>
  <conditionalFormatting sqref="B16:D16">
    <cfRule type="expression" priority="2" dxfId="1">
      <formula>AND(ISNUMBER($B$15),$B$15&lt;0)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2026-09-27T02:15:21Z</dcterms:created>
  <dcterms:modified xsi:type="dcterms:W3CDTF">2026-09-27T02:15:21Z</dcterms:modified>
</cp:coreProperties>
</file>